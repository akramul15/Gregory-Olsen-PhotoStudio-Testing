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ourses\a1qa\Task-3\"/>
    </mc:Choice>
  </mc:AlternateContent>
  <xr:revisionPtr revIDLastSave="0" documentId="13_ncr:1_{7CCD363A-0F51-4B38-9084-E38C9EEBBF12}" xr6:coauthVersionLast="47" xr6:coauthVersionMax="47" xr10:uidLastSave="{00000000-0000-0000-0000-000000000000}"/>
  <bookViews>
    <workbookView xWindow="-120" yWindow="-120" windowWidth="20730" windowHeight="11040" tabRatio="500" activeTab="2" xr2:uid="{00000000-000D-0000-FFFF-FFFF00000000}"/>
  </bookViews>
  <sheets>
    <sheet name="Description" sheetId="1" r:id="rId1"/>
    <sheet name="Build Info" sheetId="2" r:id="rId2"/>
    <sheet name="Front End" sheetId="3" r:id="rId3"/>
    <sheet name="Testing Plan" sheetId="4" r:id="rId4"/>
  </sheets>
  <definedNames>
    <definedName name="_xlnm._FilterDatabase" localSheetId="2">'Front End'!$A$1:$H$26</definedName>
    <definedName name="B_Critical">OFFSET('Build Info'!Build_Number,49,0)</definedName>
    <definedName name="Blocker">OFFSET('Build Info'!Build_Number,48,0)</definedName>
    <definedName name="Browser_list">'Testing Plan'!$B$12:$B$21</definedName>
    <definedName name="Build_Number" localSheetId="1">OFFSET('Build Info'!$B$3,0,0,1,COUNTA('Build Info'!$3:$3)-2)</definedName>
    <definedName name="Defects_Total">OFFSET('Build Info'!Build_Number,26,0)</definedName>
    <definedName name="Environment_OS">'Testing Plan'!$B$3:$B$11</definedName>
    <definedName name="Major">OFFSET('Build Info'!Build_Number,50,0)</definedName>
    <definedName name="Minor">OFFSET('Build Info'!Build_Number,51,0)</definedName>
    <definedName name="Project_URL">'Testing Plan'!$K$3:$K$23</definedName>
    <definedName name="Quality">OFFSET('Build Info'!Build_Number,8,0)</definedName>
    <definedName name="Quality_range">Description!$A$92:$A$98</definedName>
    <definedName name="Size">OFFSET('Build Info'!Build_Number,6,0)</definedName>
    <definedName name="Test_coverage">Description!$B$11:$B$13</definedName>
    <definedName name="Test_status">Description!$A$79:$A$83</definedName>
    <definedName name="Test_Team">'Testing Plan'!$H$3:$H$23</definedName>
    <definedName name="Test_types">Description!$B$11:$B$19</definedName>
    <definedName name="Trivial">OFFSET('Build Info'!Build_Number,52,0)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 i="3" l="1"/>
  <c r="E10" i="3"/>
  <c r="E20" i="3"/>
  <c r="E19" i="3"/>
  <c r="E18" i="3"/>
  <c r="E17" i="3"/>
  <c r="E16" i="3"/>
  <c r="E15" i="3"/>
  <c r="E14" i="3"/>
  <c r="E12" i="3"/>
  <c r="E11" i="3"/>
  <c r="E9" i="3" l="1"/>
  <c r="G19" i="3" s="1"/>
  <c r="G10" i="3"/>
  <c r="G11" i="3"/>
  <c r="G12" i="3"/>
  <c r="G13" i="3"/>
  <c r="G14" i="3"/>
  <c r="G15" i="3"/>
  <c r="G16" i="3"/>
  <c r="G17" i="3"/>
  <c r="G18" i="3"/>
  <c r="J56" i="2" l="1"/>
  <c r="I56" i="2"/>
  <c r="H56" i="2"/>
  <c r="G56" i="2"/>
  <c r="F56" i="2"/>
  <c r="E56" i="2"/>
  <c r="D56" i="2"/>
  <c r="C56" i="2"/>
  <c r="B56" i="2"/>
  <c r="F47" i="2"/>
  <c r="E47" i="2"/>
  <c r="C47" i="2"/>
  <c r="C40" i="2"/>
  <c r="J29" i="2"/>
  <c r="I29" i="2"/>
  <c r="H29" i="2"/>
  <c r="G29" i="2"/>
  <c r="F29" i="2"/>
  <c r="E29" i="2"/>
  <c r="D29" i="2"/>
  <c r="C29" i="2"/>
  <c r="B29" i="2"/>
  <c r="J11" i="2"/>
  <c r="I11" i="2"/>
  <c r="H11" i="2"/>
  <c r="G11" i="2"/>
  <c r="F11" i="2"/>
  <c r="E11" i="2"/>
  <c r="D11" i="2"/>
  <c r="C11" i="2"/>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0000-000006000000}">
      <text>
        <r>
          <rPr>
            <sz val="9"/>
            <color rgb="FF000000"/>
            <rFont val="Tahoma"/>
            <family val="2"/>
            <charset val="204"/>
          </rPr>
          <t>It is recommended not to merge columns with different test types.</t>
        </r>
      </text>
    </comment>
    <comment ref="B19" authorId="0" shapeId="0" xr:uid="{00000000-0006-0000-0000-000007000000}">
      <text>
        <r>
          <rPr>
            <sz val="9"/>
            <color rgb="FF000000"/>
            <rFont val="Tahoma"/>
            <family val="2"/>
            <charset val="204"/>
          </rPr>
          <t>It is recommended not to merge columns with different test types.</t>
        </r>
      </text>
    </comment>
    <comment ref="A92" authorId="0" shapeId="0" xr:uid="{00000000-0006-0000-0000-000001000000}">
      <text>
        <r>
          <rPr>
            <sz val="9"/>
            <color rgb="FF000000"/>
            <rFont val="Tahoma"/>
            <family val="2"/>
            <charset val="204"/>
          </rPr>
          <t>Required</t>
        </r>
      </text>
    </comment>
    <comment ref="A94" authorId="0" shapeId="0" xr:uid="{00000000-0006-0000-0000-000002000000}">
      <text>
        <r>
          <rPr>
            <sz val="9"/>
            <color rgb="FF000000"/>
            <rFont val="Tahoma"/>
            <family val="2"/>
            <charset val="204"/>
          </rPr>
          <t>Required</t>
        </r>
      </text>
    </comment>
    <comment ref="A96" authorId="0" shapeId="0" xr:uid="{00000000-0006-0000-0000-000003000000}">
      <text>
        <r>
          <rPr>
            <sz val="9"/>
            <color rgb="FF000000"/>
            <rFont val="Tahoma"/>
            <family val="2"/>
            <charset val="204"/>
          </rPr>
          <t>Required</t>
        </r>
      </text>
    </comment>
    <comment ref="A97" authorId="0" shapeId="0" xr:uid="{00000000-0006-0000-0000-000004000000}">
      <text>
        <r>
          <rPr>
            <sz val="9"/>
            <color rgb="FF000000"/>
            <rFont val="Tahoma"/>
            <family val="2"/>
            <charset val="204"/>
          </rPr>
          <t>Required</t>
        </r>
      </text>
    </comment>
    <comment ref="A98" authorId="0" shapeId="0" xr:uid="{00000000-0006-0000-0000-000005000000}">
      <text>
        <r>
          <rPr>
            <sz val="9"/>
            <color rgb="FF000000"/>
            <rFont val="Tahoma"/>
            <family val="2"/>
            <charset val="204"/>
          </rPr>
          <t>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sz val="9"/>
            <color rgb="FF000000"/>
            <rFont val="Tahoma"/>
            <family val="2"/>
            <charset val="204"/>
          </rPr>
          <t>required</t>
        </r>
      </text>
    </comment>
    <comment ref="D2" authorId="0" shapeId="0" xr:uid="{00000000-0006-0000-0200-000002000000}">
      <text>
        <r>
          <rPr>
            <sz val="9"/>
            <color rgb="FF000000"/>
            <rFont val="Tahoma"/>
            <family val="2"/>
            <charset val="204"/>
          </rPr>
          <t>required</t>
        </r>
      </text>
    </comment>
    <comment ref="D3" authorId="0" shapeId="0" xr:uid="{00000000-0006-0000-0200-000003000000}">
      <text>
        <r>
          <rPr>
            <sz val="9"/>
            <color rgb="FF000000"/>
            <rFont val="Tahoma"/>
            <family val="2"/>
            <charset val="204"/>
          </rPr>
          <t>required</t>
        </r>
      </text>
    </comment>
    <comment ref="D4" authorId="0" shapeId="0" xr:uid="{00000000-0006-0000-0200-000004000000}">
      <text>
        <r>
          <rPr>
            <sz val="9"/>
            <color rgb="FF000000"/>
            <rFont val="Tahoma"/>
            <family val="2"/>
            <charset val="204"/>
          </rPr>
          <t>required</t>
        </r>
      </text>
    </comment>
    <comment ref="D5" authorId="0" shapeId="0" xr:uid="{00000000-0006-0000-0200-000005000000}">
      <text>
        <r>
          <rPr>
            <sz val="9"/>
            <color rgb="FF000000"/>
            <rFont val="Tahoma"/>
            <family val="2"/>
            <charset val="204"/>
          </rPr>
          <t>required</t>
        </r>
      </text>
    </comment>
  </commentList>
</comments>
</file>

<file path=xl/sharedStrings.xml><?xml version="1.0" encoding="utf-8"?>
<sst xmlns="http://schemas.openxmlformats.org/spreadsheetml/2006/main" count="654" uniqueCount="293">
  <si>
    <t>No Need to Edit  (EXAMPLE)</t>
  </si>
  <si>
    <t>Test Survey contains information about all tests and their results.</t>
  </si>
  <si>
    <t>Test Survey should be sent as an attach to PM, TM and PC after the MAT, the New Features Testing (if an acceptance test will not be executed) and the Acceptance Test.</t>
  </si>
  <si>
    <t>A common description of the quality of the build in accordance with last testing type should be included in such letters.</t>
  </si>
  <si>
    <t>Build Info &amp; Testing tabs description</t>
  </si>
  <si>
    <t>Build Information</t>
  </si>
  <si>
    <t>Build Number</t>
  </si>
  <si>
    <t>The number of the build that was tested.</t>
  </si>
  <si>
    <t>Test type</t>
  </si>
  <si>
    <t>Smoke Test</t>
  </si>
  <si>
    <t xml:space="preserve">A subset of all defined/planned test cases that cover the main functionality of a component or system, to ascertaining that the most crucial functions of a program work, but not bothering with finer details. </t>
  </si>
  <si>
    <t>MAT</t>
  </si>
  <si>
    <r>
      <rPr>
        <b/>
        <sz val="8"/>
        <rFont val="Arial"/>
        <family val="2"/>
        <charset val="204"/>
      </rPr>
      <t>Minimal Acceptance Test</t>
    </r>
    <r>
      <rPr>
        <sz val="8"/>
        <rFont val="Arial"/>
        <family val="2"/>
        <charset val="204"/>
      </rPr>
      <t xml:space="preserve">: A test directed to check that all application functions can be performed with correct data.
Check if all application features can be used under correct conditions. For complex and large applications, a limited set of functions and scenarios is used. </t>
    </r>
  </si>
  <si>
    <t>AT</t>
  </si>
  <si>
    <r>
      <rPr>
        <b/>
        <sz val="8"/>
        <rFont val="Arial"/>
        <family val="2"/>
        <charset val="204"/>
      </rPr>
      <t>Full Acceptance Test</t>
    </r>
    <r>
      <rPr>
        <sz val="8"/>
        <rFont val="Arial"/>
        <family val="2"/>
        <charset val="204"/>
      </rPr>
      <t xml:space="preserve">: A test directed to verify that the software can be used by end users to perform the functions and tasks for which the software was built under any conditions.
Business logic + functionality + form behaviour + GUI test + Usability test + localisation test (if applicable) — a complete test of the functionality and interface under any conditions (positive and negative testing). All these tests make up a maximal set for testing, but it can also comprise one or several parts (depending on the end-users aims while using the product). </t>
    </r>
  </si>
  <si>
    <t>NFT</t>
  </si>
  <si>
    <r>
      <rPr>
        <b/>
        <sz val="8"/>
        <rFont val="Arial"/>
        <family val="2"/>
        <charset val="204"/>
      </rPr>
      <t>Full Acceptance Test of New Features</t>
    </r>
    <r>
      <rPr>
        <sz val="8"/>
        <rFont val="Arial"/>
        <family val="2"/>
        <charset val="204"/>
      </rPr>
      <t xml:space="preserve">: A test directed to verify if the feature is completely and correctly implemented and if the logic of the product is not affected.
Check if all application features can be used under correct conditions. For complex and large applications, a limited set of functions and scenarios is used. </t>
    </r>
  </si>
  <si>
    <t>DV</t>
  </si>
  <si>
    <r>
      <rPr>
        <b/>
        <sz val="8"/>
        <rFont val="Arial"/>
        <family val="2"/>
        <charset val="204"/>
      </rPr>
      <t>Defects Validation</t>
    </r>
    <r>
      <rPr>
        <sz val="8"/>
        <rFont val="Arial"/>
        <family val="2"/>
        <charset val="204"/>
      </rPr>
      <t xml:space="preserve">: A test directed to check all the defects that were resolved against the current build.
Testing of the feature that contained the fixed defect. </t>
    </r>
  </si>
  <si>
    <t>Regression Test</t>
  </si>
  <si>
    <t xml:space="preserve">Testing of a previously tested program following modification to ensure that defects have not been introduced or uncovered in unchanged areas of the software, as a result of the changes made. It is performed when the software or its environment is changed. </t>
  </si>
  <si>
    <t>Crossbrowser Test</t>
  </si>
  <si>
    <t xml:space="preserve">Testing of the program to determine if it's functional on different internet browsers. </t>
  </si>
  <si>
    <t>Add test type if it's not on the list.</t>
  </si>
  <si>
    <t>Test date</t>
  </si>
  <si>
    <t>Date range when the tests were performed.</t>
  </si>
  <si>
    <t>Tester</t>
  </si>
  <si>
    <t>Testers who performed tests.</t>
  </si>
  <si>
    <t>Environment / OS</t>
  </si>
  <si>
    <t>Environment / OS on which the tests were performed.</t>
  </si>
  <si>
    <t>Browser</t>
  </si>
  <si>
    <t>Browser on which the tests were performed.</t>
  </si>
  <si>
    <t>Project Size</t>
  </si>
  <si>
    <t>Subjective metric set for the first build by QA Manager for further tracking of quality.</t>
  </si>
  <si>
    <t>Quality</t>
  </si>
  <si>
    <t>Subjective quality rate of the build.</t>
  </si>
  <si>
    <t>Quality rate</t>
  </si>
  <si>
    <t>Calculated quality of the build.</t>
  </si>
  <si>
    <t>Total defects quantity</t>
  </si>
  <si>
    <t>Quantity of all active defects in Jira by the end of testing.</t>
  </si>
  <si>
    <t>New defects quantity</t>
  </si>
  <si>
    <t>Quantity of active defects in Jira by the end of testing found in the current build.</t>
  </si>
  <si>
    <t>Comments</t>
  </si>
  <si>
    <t>Any comments that are needed.</t>
  </si>
  <si>
    <t>New defects found</t>
  </si>
  <si>
    <t>Quantity of active defects by the end of testing found in the current build.</t>
  </si>
  <si>
    <t>With high severity</t>
  </si>
  <si>
    <t>Quantity of active defects with high severity (Average, Major, Critical) by the end of testing found in the current build.</t>
  </si>
  <si>
    <t>Jira defects status report</t>
  </si>
  <si>
    <t>Open</t>
  </si>
  <si>
    <t>Quantity of defects having "Open" state by the end of testing (the issue is open and ready for the assignee to start work on it).</t>
  </si>
  <si>
    <t>In Progress</t>
  </si>
  <si>
    <t>Quantity of defects having "In Progress" state by the end of testing (this issue is being actively worked on at the moment by the assignee).</t>
  </si>
  <si>
    <t>Resolved</t>
  </si>
  <si>
    <t>Quantity of defects having "Resolved" state by the end of testing (A resolution has been taken, and it is awaiting verification by reporter. From here issues are either reopened, or are closed).</t>
  </si>
  <si>
    <t>Postponed</t>
  </si>
  <si>
    <t>Quantity of defects having "Postponed" state by the end of testing.</t>
  </si>
  <si>
    <t>To be reformulated</t>
  </si>
  <si>
    <t>Quantity of defects having "To be reformulated" state by the end of testing.</t>
  </si>
  <si>
    <t>Total</t>
  </si>
  <si>
    <t>Total quantity of active defects in JIRA.</t>
  </si>
  <si>
    <t>Defect validation report</t>
  </si>
  <si>
    <t>Number of checked defects</t>
  </si>
  <si>
    <t>Quantity of defects checked in the current build.</t>
  </si>
  <si>
    <t>Reject: Critical</t>
  </si>
  <si>
    <t>Quantity of rejected defects with "Critical" severity in the current build.</t>
  </si>
  <si>
    <t>Reject: Major</t>
  </si>
  <si>
    <t>Quantity of rejected defects with "Major" severity in the current build.</t>
  </si>
  <si>
    <t>Reject: Average</t>
  </si>
  <si>
    <t>Quantity of rejected defects with "Average" severity in the current build.</t>
  </si>
  <si>
    <t>Reject: Minor</t>
  </si>
  <si>
    <t>Quantity of rejected defects with "Minor" severity in the current build.</t>
  </si>
  <si>
    <t>Reject: Enhancement</t>
  </si>
  <si>
    <t>Quantity of rejected defects with "Enhancement" severity in the current build.</t>
  </si>
  <si>
    <t>Not checked</t>
  </si>
  <si>
    <t>Quantity of defects required to be checked but not checked.</t>
  </si>
  <si>
    <t>Percent of Rejects</t>
  </si>
  <si>
    <t>Percentage of rejected defects.</t>
  </si>
  <si>
    <t>CR validation report</t>
  </si>
  <si>
    <t>Number of checked CRs</t>
  </si>
  <si>
    <t>Quantity of CRs checked in the current build.</t>
  </si>
  <si>
    <t>Rejected</t>
  </si>
  <si>
    <t>Quantity of rejected CRs in the current build.</t>
  </si>
  <si>
    <t>Quantity of CRs required to be checked but not checked.</t>
  </si>
  <si>
    <t>Percentage of rejected CRs.</t>
  </si>
  <si>
    <t>Jira defects severity report</t>
  </si>
  <si>
    <t>Critical</t>
  </si>
  <si>
    <t>Quantity of active defects with "Critical" severity by the end of testing.</t>
  </si>
  <si>
    <t>Major</t>
  </si>
  <si>
    <t>Quantity of active defects with "Major" severity by the end of testing.</t>
  </si>
  <si>
    <t>Average</t>
  </si>
  <si>
    <t>Quantity of active defects with "Average" severity by the end of testing.</t>
  </si>
  <si>
    <t>Minor</t>
  </si>
  <si>
    <t>Quantity of active defects with "Minor" severity by the end of testing.</t>
  </si>
  <si>
    <t>Enhancement</t>
  </si>
  <si>
    <t>Quantity of active defects with "Enhancement" severity by the end of testing.</t>
  </si>
  <si>
    <t>Results used by the tester when filling cells of the Test Survey</t>
  </si>
  <si>
    <t>OK</t>
  </si>
  <si>
    <t>The case is working correctly.</t>
  </si>
  <si>
    <t>Partially tested</t>
  </si>
  <si>
    <t>The case is partially tested.</t>
  </si>
  <si>
    <t>Not available</t>
  </si>
  <si>
    <t>Function is not available for test.</t>
  </si>
  <si>
    <t>Not implemented</t>
  </si>
  <si>
    <t>Function has been not implemented yet.</t>
  </si>
  <si>
    <t>Not tested</t>
  </si>
  <si>
    <t>Function has not been tested.</t>
  </si>
  <si>
    <t>Build quality range</t>
  </si>
  <si>
    <t>High</t>
  </si>
  <si>
    <t>Applies to MAT, AT, NFT, Regression test, Crossbrowser test. 
A few Enhancement/minor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</si>
  <si>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</si>
  <si>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</si>
  <si>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</si>
  <si>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Average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</si>
  <si>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</si>
  <si>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Average problems disrupting the normal user’s work. There are issues which affects functional areas within Average features. The use cases can be completed with a minimum of workaround. </t>
  </si>
  <si>
    <t>Low</t>
  </si>
  <si>
    <t xml:space="preserve">Applies to MAT, AT, NFT, Regression test, Crossbrowser test. 
Major or Average issues exist. The user can not work properly with the application. There are issues which affect the use of one or more Average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</si>
  <si>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</si>
  <si>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</si>
  <si>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</si>
  <si>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</si>
  <si>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</si>
  <si>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browsers and OS, necessary tests and their date and results.</t>
  </si>
  <si>
    <t>Required</t>
  </si>
  <si>
    <t>Build number</t>
  </si>
  <si>
    <t>0.0.1</t>
  </si>
  <si>
    <t>0.0.2</t>
  </si>
  <si>
    <t>0.0.3</t>
  </si>
  <si>
    <t>0.0.4</t>
  </si>
  <si>
    <t>0.0.5</t>
  </si>
  <si>
    <t>0.0.6</t>
  </si>
  <si>
    <t>0.0.7</t>
  </si>
  <si>
    <t>0.0.8</t>
  </si>
  <si>
    <t>0.0.9</t>
  </si>
  <si>
    <t>11-12.06.2012</t>
  </si>
  <si>
    <t>A. Pechinsky</t>
  </si>
  <si>
    <t>A. Burtsev</t>
  </si>
  <si>
    <t>M. Matievskaya</t>
  </si>
  <si>
    <t>A. Sotnikov</t>
  </si>
  <si>
    <t>E. Yakimova</t>
  </si>
  <si>
    <t>Win 7</t>
  </si>
  <si>
    <t>MacOS 10.7.2</t>
  </si>
  <si>
    <t>Android 2.3</t>
  </si>
  <si>
    <t>IE 9</t>
  </si>
  <si>
    <t>Safari 6</t>
  </si>
  <si>
    <t>Firefox 17</t>
  </si>
  <si>
    <t>—</t>
  </si>
  <si>
    <t>Project size</t>
  </si>
  <si>
    <t>–</t>
  </si>
  <si>
    <t>Statistics for Defects</t>
  </si>
  <si>
    <t>New defects found:</t>
  </si>
  <si>
    <t>Jira defects status report:</t>
  </si>
  <si>
    <t>Defect validation report:</t>
  </si>
  <si>
    <t>CR validation report:</t>
  </si>
  <si>
    <t>Jira defects severity report:</t>
  </si>
  <si>
    <t>Module</t>
  </si>
  <si>
    <t>Description</t>
  </si>
  <si>
    <t>1.0.1</t>
  </si>
  <si>
    <t>Project Environment</t>
  </si>
  <si>
    <t>http://projectx_live.com</t>
  </si>
  <si>
    <t>Operating System</t>
  </si>
  <si>
    <t>iPhone 5</t>
  </si>
  <si>
    <t>Test Cases Statistics</t>
  </si>
  <si>
    <t>Total Test Cases Run</t>
  </si>
  <si>
    <t>Total Time Spent, h</t>
  </si>
  <si>
    <t>Test Type</t>
  </si>
  <si>
    <t>Functionality</t>
  </si>
  <si>
    <t>Actions</t>
  </si>
  <si>
    <t>Expected Result</t>
  </si>
  <si>
    <t>Result</t>
  </si>
  <si>
    <t>Comment</t>
  </si>
  <si>
    <t>Time Spent, min (No need to count)</t>
  </si>
  <si>
    <t>Submodule 1</t>
  </si>
  <si>
    <t>Smoke</t>
  </si>
  <si>
    <t>Submodule 2</t>
  </si>
  <si>
    <t>Perform the check that the field allows copy-paste (Ctrl+C / Ctrl+V)</t>
  </si>
  <si>
    <t>Data can be pasted into the field</t>
  </si>
  <si>
    <t>Requirement</t>
  </si>
  <si>
    <t>Software</t>
  </si>
  <si>
    <t>Test Team</t>
  </si>
  <si>
    <t>URL</t>
  </si>
  <si>
    <t>Environment / Operating System</t>
  </si>
  <si>
    <t>Live</t>
  </si>
  <si>
    <t>6.8 %</t>
  </si>
  <si>
    <t>UAT</t>
  </si>
  <si>
    <t>http://projectx_uat.com</t>
  </si>
  <si>
    <t>iPad 3</t>
  </si>
  <si>
    <t>Test</t>
  </si>
  <si>
    <t>http://projectx_test.com</t>
  </si>
  <si>
    <t>Dev</t>
  </si>
  <si>
    <t>http://projectx_dev.com</t>
  </si>
  <si>
    <t>iPhone 4S</t>
  </si>
  <si>
    <t>Android 4.0</t>
  </si>
  <si>
    <t>Add environment / operating system if it's not on the list.</t>
  </si>
  <si>
    <t>Used for testing environment with built-in browser (e.g. in Android system).</t>
  </si>
  <si>
    <t>IE 8</t>
  </si>
  <si>
    <t>IE 7</t>
  </si>
  <si>
    <t>Chrome 23</t>
  </si>
  <si>
    <t>Safari 5</t>
  </si>
  <si>
    <t>Opera 12</t>
  </si>
  <si>
    <t>Add browser if it's not on the list.</t>
  </si>
  <si>
    <t>Language: English</t>
  </si>
  <si>
    <t xml:space="preserve"> </t>
  </si>
  <si>
    <t>Main Test Condition</t>
  </si>
  <si>
    <t>OS</t>
  </si>
  <si>
    <t>Additional Test Plan</t>
  </si>
  <si>
    <t>1.5.2</t>
  </si>
  <si>
    <t>04 - 05.12.2012</t>
  </si>
  <si>
    <t>Lifestyle Gallery</t>
  </si>
  <si>
    <t>A dynamic, paginated gallery showcasing the photographer's lifestyle work, featuring a hover-effect image frame, an interactive hover-preview of all images on the current page.</t>
  </si>
  <si>
    <t>Header</t>
  </si>
  <si>
    <t>Search</t>
  </si>
  <si>
    <t>Action</t>
  </si>
  <si>
    <t>Perform the check that the search field exists in the header</t>
  </si>
  <si>
    <t>Perform the check that the placeholder text "Search..." is displayed</t>
  </si>
  <si>
    <t>The placeholder text "Search..." is correctly displayed</t>
  </si>
  <si>
    <t>Perform the check that the field accepts valid keywords</t>
  </si>
  <si>
    <t>Search results are displayed for valid keywords</t>
  </si>
  <si>
    <t>Perform the check that all menu links redirect correctly</t>
  </si>
  <si>
    <t>Perform the check that the field handles non-existent keywords</t>
  </si>
  <si>
    <t>The "No results found" message is displayed</t>
  </si>
  <si>
    <t>Perform the check that the field handles empty input clicks</t>
  </si>
  <si>
    <t>The system does not perform a search or shows an error</t>
  </si>
  <si>
    <t>Perform the check that the "Enter" key triggers the search</t>
  </si>
  <si>
    <t>Pressing the "Enter" key successfully initiates the search</t>
  </si>
  <si>
    <t>Perform the check that search results are case-insensitive</t>
  </si>
  <si>
    <t>Perform the check that the search icon and input field are aligned</t>
  </si>
  <si>
    <t>The search icon and input field are properly aligned</t>
  </si>
  <si>
    <t>Perform the check that the logo alignment is correct</t>
  </si>
  <si>
    <t>The logo is positioned according to design specifications</t>
  </si>
  <si>
    <t>Perform the check that the menu color matches requirements</t>
  </si>
  <si>
    <t>The menu text and background colors match the brand design</t>
  </si>
  <si>
    <t>Perform the check that the title color matches requirements</t>
  </si>
  <si>
    <t>The page title color is displayed as per requirements</t>
  </si>
  <si>
    <t>All menu links redirect to the correct target pages</t>
  </si>
  <si>
    <t>Perform the check that the gallery grid layout is correct</t>
  </si>
  <si>
    <t>Images are aligned in the specified grid structure</t>
  </si>
  <si>
    <t>Perform the check that the hover frame effect works</t>
  </si>
  <si>
    <t>Image frame changes color (grey to white) on hover</t>
  </si>
  <si>
    <t>Full-screen image viewer is triggered when clicking a photo</t>
  </si>
  <si>
    <t>Viewer closes and returns to gallery upon clicking "Close"</t>
  </si>
  <si>
    <t>Perform the check that image dimensions match requirements</t>
  </si>
  <si>
    <t>Images and thumbnails match the required pixel dimensions</t>
  </si>
  <si>
    <t>Gallery</t>
  </si>
  <si>
    <t>Pagination</t>
  </si>
  <si>
    <t>All page numbers are displayed at the bottom of the gallery</t>
  </si>
  <si>
    <t>Perform the check that the "Next" button advances the page</t>
  </si>
  <si>
    <t>Clicking "Next" loads the subsequent set of 12 images</t>
  </si>
  <si>
    <t>Perform the check that the "Previous" button retreats the page</t>
  </si>
  <si>
    <t>Clicking "Previous" loads the preceding set of 12 images</t>
  </si>
  <si>
    <t>Perform the check that the current page is visually active</t>
  </si>
  <si>
    <t>The page number currently being viewed is highlighted</t>
  </si>
  <si>
    <t>Perform the check that the page title is "Lifestyle Gallery"</t>
  </si>
  <si>
    <t>The page title is displayed exactly as "Lifestyle Gallery"</t>
  </si>
  <si>
    <t>Images scale correctly to their natural dimensions when opened</t>
  </si>
  <si>
    <t>Perform the check that image loading is efficient</t>
  </si>
  <si>
    <t>Footer</t>
  </si>
  <si>
    <t>The address matches the requirements exactly</t>
  </si>
  <si>
    <t>The phone number is displayed according to requirements</t>
  </si>
  <si>
    <t>The email address is displayed according to requirements</t>
  </si>
  <si>
    <t>Perform the check that the footer layout matches the design</t>
  </si>
  <si>
    <t>Perform the check that all social media links are functional</t>
  </si>
  <si>
    <t>Facebook, Twitter, Instagram, and YouTube links open the correct URLs in new tabs</t>
  </si>
  <si>
    <t>Submodule 3</t>
  </si>
  <si>
    <t>Perform the check that the tooltip content is correct</t>
  </si>
  <si>
    <t>The text inside the tooltip matches the design requirements</t>
  </si>
  <si>
    <t>The search field is displayed in the header</t>
  </si>
  <si>
    <t>The search returns the same results for "Lifestyle" and "lifestyle"</t>
  </si>
  <si>
    <t>Perform the check that the opened image closes correctly</t>
  </si>
  <si>
    <t>Perform the check that the image opens on click</t>
  </si>
  <si>
    <t>Perform the check that images display their natural size</t>
  </si>
  <si>
    <t>All images render after page load</t>
  </si>
  <si>
    <t>Perform the check that page numbers are visible</t>
  </si>
  <si>
    <t>Perform the check that direct page selection works</t>
  </si>
  <si>
    <t>Clicking on specific page number loads the images specific to that page</t>
  </si>
  <si>
    <t>Perform the check that the page displays correct count of images</t>
  </si>
  <si>
    <t>All pages displays the correct count of images</t>
  </si>
  <si>
    <t>Perform the check that the galley maintains the photo order</t>
  </si>
  <si>
    <t>All page maintains the photo order</t>
  </si>
  <si>
    <t>The footer is present at the bottom of the page</t>
  </si>
  <si>
    <t>Perform the check that the footer is displayed at the bottom of the page</t>
  </si>
  <si>
    <t>Perform the check that the email address is displayed accurately</t>
  </si>
  <si>
    <t>Perform the check that the phone number is displayed accurately</t>
  </si>
  <si>
    <t>Perform the check that the studio address is displayed accurately</t>
  </si>
  <si>
    <t>Perform the check that the fields name are displayed accurately</t>
  </si>
  <si>
    <t>The fields name matches the requirements exactly</t>
  </si>
  <si>
    <t>Footer elements are positioned according to design specification</t>
  </si>
  <si>
    <t>Submodule 4</t>
  </si>
  <si>
    <t>Submodule 5</t>
  </si>
  <si>
    <t>Perform the check that  the field can't accept invalid keywords</t>
  </si>
  <si>
    <t>Validation message appears when invalid keyword enters</t>
  </si>
  <si>
    <t>Md. Akramul Islam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</si>
</sst>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yy"/>
    <numFmt numFmtId="166" formatCode="[$-809]dd\ mmmm\ yyyy;@"/>
  </numFmts>
  <fonts count="38" x14ac:knownFonts="1">
    <font>
      <sz val="10"/>
      <name val="Arial"/>
      <charset val="204"/>
    </font>
    <font>
      <sz val="10"/>
      <name val="Arial"/>
      <family val="2"/>
    </font>
    <font>
      <sz val="11"/>
      <color rgb="FF000000"/>
      <name val="Calibri"/>
      <family val="2"/>
      <charset val="204"/>
    </font>
    <font>
      <sz val="10"/>
      <name val="Arial"/>
      <family val="2"/>
      <charset val="204"/>
    </font>
    <font>
      <sz val="10"/>
      <name val="Arial Cyr"/>
      <charset val="204"/>
    </font>
    <font>
      <sz val="8"/>
      <name val="Arial"/>
      <family val="2"/>
      <charset val="204"/>
    </font>
    <font>
      <b/>
      <sz val="15"/>
      <color rgb="FFFF0000"/>
      <name val="Arial"/>
      <family val="2"/>
      <charset val="204"/>
    </font>
    <font>
      <sz val="15"/>
      <color rgb="FFFF0000"/>
      <name val="Arial"/>
      <family val="2"/>
      <charset val="204"/>
    </font>
    <font>
      <sz val="11"/>
      <color rgb="FFFFFFFF"/>
      <name val="Calibri"/>
      <family val="2"/>
      <charset val="1"/>
    </font>
    <font>
      <b/>
      <sz val="9"/>
      <color rgb="FFFFFFFF"/>
      <name val="Arial"/>
      <family val="2"/>
      <charset val="204"/>
    </font>
    <font>
      <b/>
      <sz val="8"/>
      <color rgb="FFC00000"/>
      <name val="Arial"/>
      <family val="2"/>
      <charset val="204"/>
    </font>
    <font>
      <b/>
      <sz val="8"/>
      <color rgb="FF404040"/>
      <name val="Arial"/>
      <family val="2"/>
      <charset val="204"/>
    </font>
    <font>
      <b/>
      <sz val="8"/>
      <name val="Arial"/>
      <family val="2"/>
      <charset val="204"/>
    </font>
    <font>
      <i/>
      <sz val="8"/>
      <name val="Arial"/>
      <family val="2"/>
      <charset val="204"/>
    </font>
    <font>
      <sz val="8"/>
      <color rgb="FF006100"/>
      <name val="Arial"/>
      <family val="2"/>
      <charset val="204"/>
    </font>
    <font>
      <sz val="11"/>
      <color rgb="FF006100"/>
      <name val="Calibri"/>
      <family val="2"/>
      <charset val="1"/>
    </font>
    <font>
      <sz val="8"/>
      <color rgb="FF865600"/>
      <name val="Arial"/>
      <family val="2"/>
      <charset val="204"/>
    </font>
    <font>
      <sz val="11"/>
      <color rgb="FF9C6500"/>
      <name val="Calibri"/>
      <family val="2"/>
      <charset val="1"/>
    </font>
    <font>
      <sz val="8"/>
      <color rgb="FF984807"/>
      <name val="Arial"/>
      <family val="2"/>
      <charset val="204"/>
    </font>
    <font>
      <sz val="8"/>
      <color rgb="FF9C0006"/>
      <name val="Arial"/>
      <family val="2"/>
      <charset val="204"/>
    </font>
    <font>
      <sz val="11"/>
      <color rgb="FF9C0006"/>
      <name val="Calibri"/>
      <family val="2"/>
      <charset val="1"/>
    </font>
    <font>
      <b/>
      <sz val="8"/>
      <color rgb="FF0000FF"/>
      <name val="Arial"/>
      <family val="2"/>
      <charset val="204"/>
    </font>
    <font>
      <sz val="9"/>
      <color rgb="FF000000"/>
      <name val="Tahoma"/>
      <family val="2"/>
      <charset val="204"/>
    </font>
    <font>
      <b/>
      <sz val="8"/>
      <color rgb="FFFFFFFF"/>
      <name val="Arial"/>
      <family val="2"/>
      <charset val="204"/>
    </font>
    <font>
      <sz val="8"/>
      <color rgb="FF000000"/>
      <name val="Arial"/>
      <family val="2"/>
      <charset val="204"/>
    </font>
    <font>
      <sz val="8"/>
      <color rgb="FF000000"/>
      <name val="Calibri"/>
      <family val="2"/>
      <charset val="204"/>
    </font>
    <font>
      <b/>
      <sz val="8"/>
      <color rgb="FF000000"/>
      <name val="Arial"/>
      <family val="2"/>
      <charset val="204"/>
    </font>
    <font>
      <b/>
      <sz val="8"/>
      <color rgb="FF000000"/>
      <name val="Calibri"/>
      <family val="2"/>
      <charset val="204"/>
    </font>
    <font>
      <sz val="9"/>
      <color rgb="FFFFFFFF"/>
      <name val="Arial"/>
      <family val="2"/>
      <charset val="204"/>
    </font>
    <font>
      <sz val="11"/>
      <color rgb="FF000000"/>
      <name val="Calibri"/>
      <family val="2"/>
      <charset val="1"/>
    </font>
    <font>
      <b/>
      <sz val="9"/>
      <color rgb="FF000000"/>
      <name val="Arial"/>
      <family val="2"/>
      <charset val="204"/>
    </font>
    <font>
      <sz val="9"/>
      <name val="Arial"/>
      <family val="2"/>
      <charset val="204"/>
    </font>
    <font>
      <b/>
      <sz val="8"/>
      <color rgb="FF4D5361"/>
      <name val="Arial"/>
      <family val="2"/>
      <charset val="204"/>
    </font>
    <font>
      <u/>
      <sz val="10"/>
      <color rgb="FF0000FF"/>
      <name val="Arial"/>
      <family val="2"/>
      <charset val="204"/>
    </font>
    <font>
      <u/>
      <sz val="8"/>
      <color rgb="FF0000FF"/>
      <name val="Arial"/>
      <family val="2"/>
      <charset val="204"/>
    </font>
    <font>
      <sz val="8"/>
      <name val="Calibri"/>
      <family val="2"/>
      <charset val="204"/>
    </font>
    <font>
      <sz val="10"/>
      <name val="Arial"/>
      <family val="2"/>
    </font>
    <font>
      <b/>
      <sz val="8"/>
      <color rgb="FF4D5361"/>
      <name val="Arial"/>
      <family val="2"/>
    </font>
  </fonts>
  <fills count="14">
    <fill>
      <patternFill patternType="none"/>
    </fill>
    <fill>
      <patternFill patternType="gray125"/>
    </fill>
    <fill>
      <patternFill patternType="solid">
        <fgColor rgb="FFE6E0EC"/>
        <bgColor rgb="FFF2F2F2"/>
      </patternFill>
    </fill>
    <fill>
      <patternFill patternType="solid">
        <fgColor rgb="FF8064A2"/>
        <bgColor rgb="FF808080"/>
      </patternFill>
    </fill>
    <fill>
      <patternFill patternType="solid">
        <fgColor rgb="FFC6EFCE"/>
        <bgColor rgb="FFC3DFF9"/>
      </patternFill>
    </fill>
    <fill>
      <patternFill patternType="solid">
        <fgColor rgb="FF9BBB59"/>
        <bgColor rgb="FF8AC181"/>
      </patternFill>
    </fill>
    <fill>
      <patternFill patternType="solid">
        <fgColor rgb="FFFFEB9C"/>
        <bgColor rgb="FFFFFFCC"/>
      </patternFill>
    </fill>
    <fill>
      <patternFill patternType="solid">
        <fgColor rgb="FFF79646"/>
        <bgColor rgb="FFFF8C00"/>
      </patternFill>
    </fill>
    <fill>
      <patternFill patternType="solid">
        <fgColor rgb="FFFFC7CE"/>
        <bgColor rgb="FFD8BFEB"/>
      </patternFill>
    </fill>
    <fill>
      <patternFill patternType="solid">
        <fgColor rgb="FFFFFFFF"/>
        <bgColor rgb="FFF2F2F2"/>
      </patternFill>
    </fill>
    <fill>
      <patternFill patternType="solid">
        <fgColor rgb="FF437381"/>
        <bgColor rgb="FF4A7EBB"/>
      </patternFill>
    </fill>
    <fill>
      <patternFill patternType="solid">
        <fgColor rgb="FF7CACBC"/>
        <bgColor rgb="FF8AC181"/>
      </patternFill>
    </fill>
    <fill>
      <patternFill patternType="solid">
        <fgColor rgb="FF33C533"/>
        <bgColor rgb="FF8AC181"/>
      </patternFill>
    </fill>
    <fill>
      <patternFill patternType="solid">
        <fgColor rgb="FFFFFF00"/>
        <bgColor rgb="FFFFF019"/>
      </patternFill>
    </fill>
  </fills>
  <borders count="28">
    <border>
      <left/>
      <right/>
      <top/>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style="thin">
        <color auto="1"/>
      </left>
      <right style="thin">
        <color rgb="FF595959"/>
      </right>
      <top style="thin">
        <color auto="1"/>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auto="1"/>
      </left>
      <right/>
      <top/>
      <bottom/>
      <diagonal/>
    </border>
    <border>
      <left style="thin">
        <color rgb="FF595959"/>
      </left>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595959"/>
      </top>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n">
        <color rgb="FF808080"/>
      </left>
      <right style="thin">
        <color rgb="FF595959"/>
      </right>
      <top style="thin">
        <color rgb="FF808080"/>
      </top>
      <bottom style="thin">
        <color rgb="FF595959"/>
      </bottom>
      <diagonal/>
    </border>
    <border>
      <left style="thin">
        <color rgb="FF595959"/>
      </left>
      <right style="thin">
        <color rgb="FF595959"/>
      </right>
      <top style="thin">
        <color rgb="FF808080"/>
      </top>
      <bottom style="thin">
        <color rgb="FF595959"/>
      </bottom>
      <diagonal/>
    </border>
    <border>
      <left style="thin">
        <color rgb="FF595959"/>
      </left>
      <right style="thin">
        <color rgb="FF808080"/>
      </right>
      <top style="thin">
        <color rgb="FF808080"/>
      </top>
      <bottom style="thin">
        <color rgb="FF595959"/>
      </bottom>
      <diagonal/>
    </border>
    <border>
      <left style="thin">
        <color rgb="FF808080"/>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thin">
        <color rgb="FF808080"/>
      </right>
      <top style="thin">
        <color rgb="FF595959"/>
      </top>
      <bottom style="thin">
        <color rgb="FF595959"/>
      </bottom>
      <diagonal/>
    </border>
    <border>
      <left style="thin">
        <color rgb="FF808080"/>
      </left>
      <right style="thin">
        <color rgb="FF595959"/>
      </right>
      <top style="thin">
        <color rgb="FF595959"/>
      </top>
      <bottom style="thin">
        <color rgb="FF808080"/>
      </bottom>
      <diagonal/>
    </border>
    <border>
      <left style="thin">
        <color rgb="FF595959"/>
      </left>
      <right style="thin">
        <color rgb="FF595959"/>
      </right>
      <top style="thin">
        <color rgb="FF595959"/>
      </top>
      <bottom style="thin">
        <color rgb="FF808080"/>
      </bottom>
      <diagonal/>
    </border>
    <border>
      <left style="thin">
        <color rgb="FF595959"/>
      </left>
      <right style="thin">
        <color rgb="FF808080"/>
      </right>
      <top style="thin">
        <color rgb="FF595959"/>
      </top>
      <bottom style="thin">
        <color rgb="FF808080"/>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s>
  <cellStyleXfs count="19">
    <xf numFmtId="0" fontId="0" fillId="0" borderId="0"/>
    <xf numFmtId="9" fontId="36" fillId="0" borderId="0" applyBorder="0" applyProtection="0"/>
    <xf numFmtId="0" fontId="33" fillId="0" borderId="0" applyBorder="0" applyProtection="0"/>
    <xf numFmtId="0" fontId="2" fillId="2" borderId="0" applyBorder="0" applyProtection="0"/>
    <xf numFmtId="0" fontId="3" fillId="0" borderId="0"/>
    <xf numFmtId="0" fontId="3" fillId="0" borderId="0"/>
    <xf numFmtId="0" fontId="4" fillId="0" borderId="0"/>
    <xf numFmtId="0" fontId="4" fillId="0" borderId="0"/>
    <xf numFmtId="0" fontId="3" fillId="0" borderId="0"/>
    <xf numFmtId="0" fontId="4" fillId="0" borderId="0"/>
    <xf numFmtId="0" fontId="8" fillId="3" borderId="0" applyBorder="0" applyProtection="0"/>
    <xf numFmtId="0" fontId="15" fillId="4" borderId="0" applyBorder="0" applyProtection="0"/>
    <xf numFmtId="0" fontId="8" fillId="5" borderId="0" applyBorder="0" applyProtection="0"/>
    <xf numFmtId="0" fontId="17" fillId="6" borderId="0" applyBorder="0" applyProtection="0"/>
    <xf numFmtId="0" fontId="8" fillId="7" borderId="0" applyBorder="0" applyProtection="0"/>
    <xf numFmtId="0" fontId="20" fillId="8" borderId="0" applyBorder="0" applyProtection="0"/>
    <xf numFmtId="0" fontId="29" fillId="2" borderId="0" applyBorder="0" applyProtection="0"/>
    <xf numFmtId="0" fontId="1" fillId="0" borderId="0"/>
    <xf numFmtId="9" fontId="1" fillId="0" borderId="0" applyBorder="0" applyProtection="0"/>
  </cellStyleXfs>
  <cellXfs count="147">
    <xf numFmtId="0" fontId="0" fillId="0" borderId="0" xfId="0"/>
    <xf numFmtId="0" fontId="12" fillId="9" borderId="1" xfId="10" applyFont="1" applyFill="1" applyBorder="1" applyAlignment="1" applyProtection="1">
      <alignment horizontal="center" vertical="center" wrapText="1"/>
    </xf>
    <xf numFmtId="0" fontId="5" fillId="9" borderId="9" xfId="10" applyFont="1" applyFill="1" applyBorder="1" applyAlignment="1" applyProtection="1">
      <alignment horizontal="center" vertical="center" wrapText="1"/>
    </xf>
    <xf numFmtId="0" fontId="5" fillId="9" borderId="1" xfId="10" applyFont="1" applyFill="1" applyBorder="1" applyAlignment="1" applyProtection="1">
      <alignment horizontal="center" vertical="center" wrapText="1"/>
    </xf>
    <xf numFmtId="0" fontId="28" fillId="10" borderId="1" xfId="10" applyFont="1" applyFill="1" applyBorder="1" applyAlignment="1" applyProtection="1">
      <alignment horizontal="center" vertical="center" wrapText="1"/>
    </xf>
    <xf numFmtId="166" fontId="28" fillId="10" borderId="1" xfId="10" applyNumberFormat="1" applyFont="1" applyFill="1" applyBorder="1" applyAlignment="1" applyProtection="1">
      <alignment horizontal="center" vertical="center" wrapText="1"/>
    </xf>
    <xf numFmtId="165" fontId="28" fillId="10" borderId="1" xfId="10" applyNumberFormat="1" applyFont="1" applyFill="1" applyBorder="1" applyAlignment="1" applyProtection="1">
      <alignment horizontal="center" vertical="center" wrapText="1"/>
    </xf>
    <xf numFmtId="0" fontId="5" fillId="0" borderId="1" xfId="6" applyFont="1" applyBorder="1" applyAlignment="1">
      <alignment horizontal="center" vertical="center"/>
    </xf>
    <xf numFmtId="49" fontId="5" fillId="0" borderId="1" xfId="9" applyNumberFormat="1" applyFont="1" applyBorder="1" applyAlignment="1">
      <alignment horizontal="left" vertical="center" wrapText="1"/>
    </xf>
    <xf numFmtId="0" fontId="11" fillId="11" borderId="7" xfId="3" applyFont="1" applyFill="1" applyBorder="1" applyAlignment="1" applyProtection="1">
      <alignment horizontal="left" vertical="center" wrapText="1" shrinkToFit="1"/>
    </xf>
    <xf numFmtId="49" fontId="5" fillId="0" borderId="1" xfId="9" applyNumberFormat="1" applyFont="1" applyBorder="1" applyAlignment="1">
      <alignment horizontal="left" vertical="center"/>
    </xf>
    <xf numFmtId="0" fontId="9" fillId="10" borderId="1" xfId="10" applyFont="1" applyFill="1" applyBorder="1" applyAlignment="1" applyProtection="1">
      <alignment horizontal="center" vertical="center" wrapText="1"/>
    </xf>
    <xf numFmtId="0" fontId="5" fillId="0" borderId="6" xfId="6" applyFont="1" applyBorder="1" applyAlignment="1">
      <alignment horizontal="center" vertical="center"/>
    </xf>
    <xf numFmtId="0" fontId="5" fillId="0" borderId="5" xfId="6" applyFont="1" applyBorder="1" applyAlignment="1">
      <alignment horizontal="center" vertical="center"/>
    </xf>
    <xf numFmtId="0" fontId="5" fillId="0" borderId="4" xfId="6" applyFont="1" applyBorder="1" applyAlignment="1">
      <alignment horizontal="center" vertical="center"/>
    </xf>
    <xf numFmtId="0" fontId="5" fillId="0" borderId="0" xfId="6" applyFont="1" applyAlignment="1">
      <alignment vertical="center"/>
    </xf>
    <xf numFmtId="0" fontId="6" fillId="9" borderId="1" xfId="5" applyFont="1" applyFill="1" applyBorder="1" applyAlignment="1">
      <alignment horizontal="center" vertical="center" wrapText="1" shrinkToFit="1"/>
    </xf>
    <xf numFmtId="0" fontId="6" fillId="9" borderId="1" xfId="5" applyFont="1" applyFill="1" applyBorder="1" applyAlignment="1">
      <alignment vertical="center" wrapText="1" shrinkToFit="1"/>
    </xf>
    <xf numFmtId="0" fontId="7" fillId="9" borderId="0" xfId="0" applyFont="1" applyFill="1" applyAlignment="1">
      <alignment vertical="center" wrapText="1"/>
    </xf>
    <xf numFmtId="0" fontId="6" fillId="9" borderId="2" xfId="5" applyFont="1" applyFill="1" applyBorder="1" applyAlignment="1">
      <alignment horizontal="center" vertical="center" wrapText="1" shrinkToFit="1"/>
    </xf>
    <xf numFmtId="0" fontId="9" fillId="10" borderId="3" xfId="10" applyFont="1" applyFill="1" applyBorder="1" applyAlignment="1" applyProtection="1">
      <alignment horizontal="center" vertical="center" wrapText="1"/>
    </xf>
    <xf numFmtId="0" fontId="5" fillId="0" borderId="5" xfId="6" applyFont="1" applyBorder="1" applyAlignment="1">
      <alignment horizontal="center" vertical="center"/>
    </xf>
    <xf numFmtId="0" fontId="5" fillId="0" borderId="6" xfId="6" applyFont="1" applyBorder="1" applyAlignment="1">
      <alignment horizontal="center" vertical="center"/>
    </xf>
    <xf numFmtId="0" fontId="5" fillId="0" borderId="0" xfId="3" applyFont="1" applyFill="1" applyBorder="1" applyAlignment="1" applyProtection="1">
      <alignment vertical="center" wrapText="1"/>
    </xf>
    <xf numFmtId="0" fontId="9" fillId="10" borderId="1" xfId="10" applyFont="1" applyFill="1" applyBorder="1" applyAlignment="1" applyProtection="1">
      <alignment horizontal="center" vertical="center" wrapText="1"/>
    </xf>
    <xf numFmtId="0" fontId="10" fillId="0" borderId="0" xfId="0" applyFont="1" applyAlignment="1">
      <alignment vertical="center"/>
    </xf>
    <xf numFmtId="0" fontId="11" fillId="11" borderId="1" xfId="3" applyFont="1" applyFill="1" applyBorder="1" applyAlignment="1" applyProtection="1">
      <alignment horizontal="left" vertical="center" wrapText="1" shrinkToFit="1"/>
    </xf>
    <xf numFmtId="0" fontId="5" fillId="0" borderId="4" xfId="0" applyFont="1" applyBorder="1" applyAlignment="1">
      <alignment horizontal="center" vertical="center"/>
    </xf>
    <xf numFmtId="0" fontId="5" fillId="0" borderId="4" xfId="3" applyFont="1" applyFill="1" applyBorder="1" applyAlignment="1" applyProtection="1">
      <alignment vertical="center" wrapText="1"/>
    </xf>
    <xf numFmtId="49" fontId="5" fillId="0" borderId="5" xfId="9" applyNumberFormat="1" applyFont="1" applyBorder="1" applyAlignment="1">
      <alignment horizontal="center" vertical="center"/>
    </xf>
    <xf numFmtId="0" fontId="12" fillId="0" borderId="5" xfId="3" applyFont="1" applyFill="1" applyBorder="1" applyAlignment="1" applyProtection="1">
      <alignment vertical="center" wrapText="1"/>
    </xf>
    <xf numFmtId="0" fontId="5" fillId="0" borderId="5" xfId="3" applyFont="1" applyFill="1" applyBorder="1" applyAlignment="1" applyProtection="1">
      <alignment vertical="center" wrapText="1"/>
    </xf>
    <xf numFmtId="0" fontId="13" fillId="0" borderId="5" xfId="0" applyFont="1" applyBorder="1" applyAlignment="1">
      <alignment vertical="center"/>
    </xf>
    <xf numFmtId="0" fontId="13" fillId="0" borderId="6" xfId="0" applyFont="1" applyBorder="1" applyAlignment="1">
      <alignment vertical="center"/>
    </xf>
    <xf numFmtId="49" fontId="5" fillId="0" borderId="0" xfId="9" applyNumberFormat="1" applyFont="1" applyAlignment="1">
      <alignment horizontal="left" vertical="center"/>
    </xf>
    <xf numFmtId="0" fontId="5" fillId="0" borderId="0" xfId="0" applyFont="1" applyAlignment="1">
      <alignment vertical="center"/>
    </xf>
    <xf numFmtId="0" fontId="5" fillId="0" borderId="1" xfId="6" applyFont="1" applyBorder="1" applyAlignment="1" applyProtection="1">
      <alignment horizontal="center" vertical="center"/>
      <protection locked="0"/>
    </xf>
    <xf numFmtId="0" fontId="14" fillId="4" borderId="1" xfId="11" applyFont="1" applyBorder="1" applyAlignment="1" applyProtection="1">
      <alignment horizontal="center" vertical="center"/>
    </xf>
    <xf numFmtId="0" fontId="14" fillId="5" borderId="1" xfId="12" applyFont="1" applyBorder="1" applyAlignment="1" applyProtection="1">
      <alignment horizontal="center" vertical="center"/>
    </xf>
    <xf numFmtId="0" fontId="16" fillId="6" borderId="1" xfId="13" applyFont="1" applyBorder="1" applyAlignment="1" applyProtection="1">
      <alignment horizontal="center" vertical="center"/>
    </xf>
    <xf numFmtId="0" fontId="18" fillId="7" borderId="1" xfId="14" applyFont="1" applyBorder="1" applyAlignment="1" applyProtection="1">
      <alignment horizontal="center" vertical="center"/>
    </xf>
    <xf numFmtId="0" fontId="19" fillId="8" borderId="4" xfId="15" applyFont="1" applyBorder="1" applyAlignment="1" applyProtection="1">
      <alignment horizontal="center" vertical="center"/>
    </xf>
    <xf numFmtId="0" fontId="14" fillId="4" borderId="4" xfId="11" applyFont="1" applyBorder="1" applyAlignment="1" applyProtection="1">
      <alignment horizontal="center" vertical="center"/>
    </xf>
    <xf numFmtId="0" fontId="19" fillId="8" borderId="1" xfId="15" applyFont="1" applyBorder="1" applyAlignment="1" applyProtection="1">
      <alignment horizontal="center" vertical="center"/>
    </xf>
    <xf numFmtId="0" fontId="12" fillId="0" borderId="0" xfId="0" applyFont="1" applyAlignment="1">
      <alignment vertical="center"/>
    </xf>
    <xf numFmtId="0" fontId="13" fillId="0" borderId="0" xfId="6" applyFont="1" applyAlignment="1">
      <alignment vertical="center"/>
    </xf>
    <xf numFmtId="164" fontId="5" fillId="0" borderId="0" xfId="6" applyNumberFormat="1" applyFont="1" applyAlignment="1">
      <alignment horizontal="left" vertical="center"/>
    </xf>
    <xf numFmtId="0" fontId="12" fillId="0" borderId="0" xfId="6" applyFont="1" applyAlignment="1">
      <alignment vertical="center"/>
    </xf>
    <xf numFmtId="0" fontId="21" fillId="0" borderId="0" xfId="6" applyFont="1" applyAlignment="1">
      <alignment vertical="center"/>
    </xf>
    <xf numFmtId="0" fontId="5" fillId="0" borderId="0" xfId="0" applyFont="1"/>
    <xf numFmtId="0" fontId="9" fillId="10" borderId="1" xfId="5" applyFont="1" applyFill="1" applyBorder="1" applyAlignment="1">
      <alignment horizontal="center" vertical="center" wrapText="1" shrinkToFit="1"/>
    </xf>
    <xf numFmtId="0" fontId="12" fillId="10" borderId="1" xfId="5" applyFont="1" applyFill="1" applyBorder="1" applyAlignment="1">
      <alignment vertical="center" wrapText="1" shrinkToFit="1"/>
    </xf>
    <xf numFmtId="0" fontId="5" fillId="0" borderId="0" xfId="0" applyFont="1" applyAlignment="1">
      <alignment vertical="center" wrapText="1"/>
    </xf>
    <xf numFmtId="0" fontId="23" fillId="10" borderId="1" xfId="5" applyFont="1" applyFill="1" applyBorder="1" applyAlignment="1">
      <alignment horizontal="center" vertical="center" wrapText="1" shrinkToFit="1"/>
    </xf>
    <xf numFmtId="0" fontId="12" fillId="0" borderId="1" xfId="5" applyFont="1" applyBorder="1" applyAlignment="1">
      <alignment vertical="center" wrapText="1" shrinkToFit="1"/>
    </xf>
    <xf numFmtId="0" fontId="24" fillId="0" borderId="1" xfId="5" applyFont="1" applyBorder="1" applyAlignment="1">
      <alignment horizontal="center" vertical="center" wrapText="1" shrinkToFit="1"/>
    </xf>
    <xf numFmtId="0" fontId="25" fillId="0" borderId="1" xfId="0" applyFont="1" applyBorder="1" applyAlignment="1">
      <alignment horizontal="center" vertical="center"/>
    </xf>
    <xf numFmtId="164" fontId="24" fillId="0" borderId="1" xfId="5" applyNumberFormat="1" applyFont="1" applyBorder="1" applyAlignment="1">
      <alignment horizontal="center" vertical="center" wrapText="1" shrinkToFit="1"/>
    </xf>
    <xf numFmtId="0" fontId="5" fillId="0" borderId="1" xfId="0" applyFont="1" applyBorder="1" applyAlignment="1">
      <alignment horizontal="center" vertical="center"/>
    </xf>
    <xf numFmtId="0" fontId="25" fillId="0" borderId="0" xfId="0" applyFont="1" applyAlignment="1">
      <alignment vertical="center"/>
    </xf>
    <xf numFmtId="0" fontId="24" fillId="12" borderId="1" xfId="8" applyFont="1" applyFill="1" applyBorder="1" applyAlignment="1">
      <alignment horizontal="center" vertical="center" wrapText="1" shrinkToFit="1"/>
    </xf>
    <xf numFmtId="0" fontId="12" fillId="0" borderId="1" xfId="5" applyFont="1" applyBorder="1" applyAlignment="1">
      <alignment horizontal="left" vertical="center" wrapText="1" shrinkToFit="1"/>
    </xf>
    <xf numFmtId="0" fontId="26" fillId="0" borderId="1" xfId="8" applyFont="1" applyBorder="1" applyAlignment="1">
      <alignment horizontal="center" vertical="center" wrapText="1" shrinkToFit="1"/>
    </xf>
    <xf numFmtId="0" fontId="26" fillId="0" borderId="1" xfId="5" applyFont="1" applyBorder="1" applyAlignment="1">
      <alignment horizontal="center" vertical="center" wrapText="1" shrinkToFit="1"/>
    </xf>
    <xf numFmtId="0" fontId="27" fillId="0" borderId="1" xfId="5" applyFont="1" applyBorder="1" applyAlignment="1">
      <alignment horizontal="center" vertical="center" wrapText="1" shrinkToFit="1"/>
    </xf>
    <xf numFmtId="0" fontId="25" fillId="0" borderId="1" xfId="5" applyFont="1" applyBorder="1" applyAlignment="1">
      <alignment horizontal="center" vertical="center" wrapText="1" shrinkToFit="1"/>
    </xf>
    <xf numFmtId="0" fontId="24" fillId="9" borderId="1" xfId="5" applyFont="1" applyFill="1" applyBorder="1" applyAlignment="1">
      <alignment horizontal="center" vertical="center" wrapText="1" shrinkToFit="1"/>
    </xf>
    <xf numFmtId="0" fontId="12" fillId="0" borderId="8" xfId="5" applyFont="1" applyBorder="1" applyAlignment="1">
      <alignment vertical="center" wrapText="1" shrinkToFit="1"/>
    </xf>
    <xf numFmtId="0" fontId="24" fillId="0" borderId="0" xfId="5" applyFont="1" applyAlignment="1">
      <alignment horizontal="center" vertical="center" wrapText="1" shrinkToFit="1"/>
    </xf>
    <xf numFmtId="0" fontId="9" fillId="10" borderId="9" xfId="5" applyFont="1" applyFill="1" applyBorder="1" applyAlignment="1">
      <alignment horizontal="center" vertical="center" wrapText="1" shrinkToFit="1"/>
    </xf>
    <xf numFmtId="0" fontId="12" fillId="10" borderId="10" xfId="5" applyFont="1" applyFill="1" applyBorder="1" applyAlignment="1">
      <alignment vertical="center" wrapText="1" shrinkToFit="1"/>
    </xf>
    <xf numFmtId="0" fontId="12" fillId="10" borderId="11" xfId="5" applyFont="1" applyFill="1" applyBorder="1" applyAlignment="1">
      <alignment vertical="center" wrapText="1" shrinkToFit="1"/>
    </xf>
    <xf numFmtId="0" fontId="9" fillId="10" borderId="1" xfId="5" applyFont="1" applyFill="1" applyBorder="1" applyAlignment="1">
      <alignment vertical="center" wrapText="1" shrinkToFit="1"/>
    </xf>
    <xf numFmtId="0" fontId="12" fillId="0" borderId="1" xfId="9" applyFont="1" applyBorder="1" applyAlignment="1">
      <alignment vertical="center"/>
    </xf>
    <xf numFmtId="9" fontId="26" fillId="0" borderId="1" xfId="1" applyFont="1" applyBorder="1" applyAlignment="1" applyProtection="1">
      <alignment horizontal="center" vertical="center" wrapText="1" shrinkToFit="1"/>
    </xf>
    <xf numFmtId="0" fontId="5" fillId="9" borderId="0" xfId="0" applyFont="1" applyFill="1" applyAlignment="1">
      <alignment vertical="center"/>
    </xf>
    <xf numFmtId="0" fontId="5" fillId="0" borderId="0" xfId="0" applyFont="1" applyAlignment="1">
      <alignment wrapText="1"/>
    </xf>
    <xf numFmtId="0" fontId="9" fillId="10" borderId="1" xfId="10" applyFont="1" applyFill="1" applyBorder="1" applyAlignment="1" applyProtection="1">
      <alignment horizontal="right" vertical="center" wrapText="1"/>
    </xf>
    <xf numFmtId="0" fontId="26" fillId="11" borderId="4" xfId="16" applyFont="1" applyFill="1" applyBorder="1" applyAlignment="1" applyProtection="1">
      <alignment horizontal="right" vertical="center" wrapText="1" shrinkToFit="1"/>
    </xf>
    <xf numFmtId="0" fontId="26" fillId="11" borderId="6" xfId="16" applyFont="1" applyFill="1" applyBorder="1" applyAlignment="1" applyProtection="1">
      <alignment horizontal="right" vertical="center" wrapText="1" shrinkToFit="1"/>
    </xf>
    <xf numFmtId="0" fontId="9" fillId="10" borderId="1" xfId="16" applyFont="1" applyFill="1" applyBorder="1" applyAlignment="1" applyProtection="1">
      <alignment horizontal="center" vertical="center" wrapText="1"/>
    </xf>
    <xf numFmtId="0" fontId="30" fillId="13" borderId="1" xfId="16" applyFont="1" applyFill="1" applyBorder="1" applyAlignment="1" applyProtection="1">
      <alignment horizontal="center" vertical="center" wrapText="1"/>
    </xf>
    <xf numFmtId="0" fontId="31" fillId="0" borderId="0" xfId="0" applyFont="1"/>
    <xf numFmtId="0" fontId="31" fillId="0" borderId="0" xfId="0" applyFont="1" applyAlignment="1">
      <alignment vertical="center"/>
    </xf>
    <xf numFmtId="0" fontId="32" fillId="11" borderId="1" xfId="0" applyFont="1" applyFill="1" applyBorder="1" applyAlignment="1">
      <alignment horizontal="left" vertical="center"/>
    </xf>
    <xf numFmtId="0" fontId="34" fillId="0" borderId="1" xfId="2" applyFont="1" applyBorder="1" applyAlignment="1" applyProtection="1">
      <alignment horizontal="left" vertical="center" wrapText="1"/>
    </xf>
    <xf numFmtId="0" fontId="5" fillId="0" borderId="1" xfId="6" applyFont="1" applyBorder="1" applyAlignment="1">
      <alignment horizontal="left" vertical="top" wrapText="1"/>
    </xf>
    <xf numFmtId="0" fontId="9" fillId="10" borderId="1" xfId="0" applyFont="1" applyFill="1" applyBorder="1" applyAlignment="1">
      <alignment horizontal="center" vertical="center"/>
    </xf>
    <xf numFmtId="0" fontId="9" fillId="10" borderId="1" xfId="7" applyFont="1" applyFill="1" applyBorder="1" applyAlignment="1">
      <alignment horizontal="center" vertical="center" wrapText="1" shrinkToFit="1"/>
    </xf>
    <xf numFmtId="0" fontId="9" fillId="10" borderId="4" xfId="7" applyFont="1" applyFill="1" applyBorder="1" applyAlignment="1">
      <alignment horizontal="center" vertical="center" wrapText="1" shrinkToFit="1"/>
    </xf>
    <xf numFmtId="0" fontId="5" fillId="0" borderId="4" xfId="7" applyFont="1" applyBorder="1" applyAlignment="1">
      <alignment horizontal="center" vertical="center" wrapText="1" shrinkToFit="1"/>
    </xf>
    <xf numFmtId="0" fontId="5" fillId="0" borderId="12" xfId="0" applyFont="1" applyBorder="1" applyAlignment="1">
      <alignment horizontal="center" vertical="center"/>
    </xf>
    <xf numFmtId="0" fontId="34" fillId="0" borderId="12" xfId="2" applyFont="1" applyBorder="1" applyAlignment="1" applyProtection="1">
      <alignment horizontal="center" vertical="center"/>
    </xf>
    <xf numFmtId="0" fontId="5" fillId="0" borderId="5" xfId="7" applyFont="1" applyBorder="1" applyAlignment="1">
      <alignment horizontal="center" vertical="center" wrapText="1" shrinkToFit="1"/>
    </xf>
    <xf numFmtId="0" fontId="5" fillId="0" borderId="5" xfId="0" applyFont="1" applyBorder="1" applyAlignment="1">
      <alignment horizontal="center" vertical="center"/>
    </xf>
    <xf numFmtId="0" fontId="34" fillId="0" borderId="5" xfId="2" applyFont="1" applyBorder="1" applyAlignment="1" applyProtection="1">
      <alignment horizontal="center" vertical="center"/>
    </xf>
    <xf numFmtId="0" fontId="5" fillId="0" borderId="5" xfId="7" applyFont="1" applyBorder="1" applyAlignment="1">
      <alignment horizontal="center" vertical="center" wrapText="1"/>
    </xf>
    <xf numFmtId="0" fontId="35" fillId="0" borderId="4" xfId="7" applyFont="1" applyBorder="1" applyAlignment="1">
      <alignment horizontal="center" vertical="center" wrapText="1"/>
    </xf>
    <xf numFmtId="0" fontId="5" fillId="0" borderId="5" xfId="0" applyFont="1" applyBorder="1" applyAlignment="1">
      <alignment vertical="center"/>
    </xf>
    <xf numFmtId="0" fontId="5" fillId="0" borderId="6" xfId="7" applyFont="1" applyBorder="1" applyAlignment="1">
      <alignment horizontal="center" vertical="center" wrapText="1" shrinkToFit="1"/>
    </xf>
    <xf numFmtId="0" fontId="5" fillId="0" borderId="6" xfId="0" applyFont="1" applyBorder="1" applyAlignment="1">
      <alignment horizontal="center" vertical="center"/>
    </xf>
    <xf numFmtId="0" fontId="5" fillId="0" borderId="0" xfId="7" applyFont="1" applyAlignment="1">
      <alignment horizontal="center" vertical="center" wrapText="1" shrinkToFit="1"/>
    </xf>
    <xf numFmtId="0" fontId="26" fillId="10" borderId="17" xfId="0" applyFont="1" applyFill="1" applyBorder="1" applyAlignment="1">
      <alignment horizontal="center" vertical="center"/>
    </xf>
    <xf numFmtId="0" fontId="26" fillId="10" borderId="18" xfId="0" applyFont="1" applyFill="1" applyBorder="1" applyAlignment="1">
      <alignment horizontal="center" vertical="center"/>
    </xf>
    <xf numFmtId="0" fontId="5" fillId="0" borderId="19" xfId="7" applyFont="1" applyBorder="1" applyAlignment="1">
      <alignment horizontal="center" vertical="center" wrapText="1" shrinkToFit="1"/>
    </xf>
    <xf numFmtId="0" fontId="5" fillId="0" borderId="20" xfId="7" applyFont="1" applyBorder="1" applyAlignment="1">
      <alignment horizontal="center" vertical="center" wrapText="1" shrinkToFit="1"/>
    </xf>
    <xf numFmtId="0" fontId="5" fillId="0" borderId="21" xfId="7" applyFont="1" applyBorder="1" applyAlignment="1">
      <alignment horizontal="center" vertical="center" wrapText="1" shrinkToFit="1"/>
    </xf>
    <xf numFmtId="0" fontId="26" fillId="10" borderId="20" xfId="0" applyFont="1" applyFill="1" applyBorder="1" applyAlignment="1">
      <alignment horizontal="center" vertical="center"/>
    </xf>
    <xf numFmtId="0" fontId="26" fillId="10" borderId="21" xfId="0" applyFont="1" applyFill="1" applyBorder="1" applyAlignment="1">
      <alignment horizontal="center" vertical="center"/>
    </xf>
    <xf numFmtId="0" fontId="11" fillId="11" borderId="19" xfId="0" applyFont="1" applyFill="1" applyBorder="1" applyAlignment="1">
      <alignment horizontal="center" vertical="center"/>
    </xf>
    <xf numFmtId="0" fontId="11" fillId="11" borderId="20" xfId="0" applyFont="1" applyFill="1" applyBorder="1" applyAlignment="1">
      <alignment horizontal="center" vertical="center"/>
    </xf>
    <xf numFmtId="0" fontId="11" fillId="11" borderId="21" xfId="0" applyFont="1" applyFill="1" applyBorder="1" applyAlignment="1">
      <alignment horizontal="center" vertical="center"/>
    </xf>
    <xf numFmtId="0" fontId="24" fillId="0" borderId="19" xfId="0" applyFont="1" applyBorder="1" applyAlignment="1">
      <alignment horizontal="center" vertical="center" wrapText="1" shrinkToFit="1"/>
    </xf>
    <xf numFmtId="0" fontId="24" fillId="0" borderId="20" xfId="0" applyFont="1" applyBorder="1" applyAlignment="1">
      <alignment horizontal="center" vertical="center" wrapText="1" shrinkToFit="1"/>
    </xf>
    <xf numFmtId="164" fontId="24" fillId="0" borderId="20" xfId="0" applyNumberFormat="1" applyFont="1" applyBorder="1" applyAlignment="1">
      <alignment horizontal="center" vertical="center" wrapText="1" shrinkToFit="1"/>
    </xf>
    <xf numFmtId="0" fontId="24" fillId="12" borderId="21" xfId="8" applyFont="1" applyFill="1" applyBorder="1" applyAlignment="1">
      <alignment horizontal="center" vertical="center" wrapText="1" shrinkToFit="1"/>
    </xf>
    <xf numFmtId="0" fontId="24" fillId="0" borderId="22" xfId="0" applyFont="1" applyBorder="1" applyAlignment="1">
      <alignment horizontal="center" vertical="center" wrapText="1" shrinkToFit="1"/>
    </xf>
    <xf numFmtId="0" fontId="24" fillId="0" borderId="23" xfId="0" applyFont="1" applyBorder="1" applyAlignment="1">
      <alignment horizontal="center" vertical="center" wrapText="1" shrinkToFit="1"/>
    </xf>
    <xf numFmtId="164" fontId="24" fillId="0" borderId="23" xfId="0" applyNumberFormat="1" applyFont="1" applyBorder="1" applyAlignment="1">
      <alignment horizontal="center" vertical="center" wrapText="1" shrinkToFit="1"/>
    </xf>
    <xf numFmtId="0" fontId="24" fillId="12" borderId="24" xfId="8" applyFont="1" applyFill="1" applyBorder="1" applyAlignment="1">
      <alignment horizontal="center" vertical="center" wrapText="1" shrinkToFit="1"/>
    </xf>
    <xf numFmtId="0" fontId="24" fillId="0" borderId="0" xfId="0" applyFont="1" applyAlignment="1">
      <alignment horizontal="center" vertical="center" wrapText="1" shrinkToFit="1"/>
    </xf>
    <xf numFmtId="10" fontId="12" fillId="9" borderId="1" xfId="10" applyNumberFormat="1" applyFont="1" applyFill="1" applyBorder="1" applyAlignment="1" applyProtection="1">
      <alignment horizontal="center" vertical="center" wrapText="1"/>
    </xf>
    <xf numFmtId="0" fontId="12" fillId="9" borderId="11" xfId="10" applyFont="1" applyFill="1" applyBorder="1" applyAlignment="1" applyProtection="1">
      <alignment horizontal="center" vertical="center" wrapText="1"/>
    </xf>
    <xf numFmtId="0" fontId="12" fillId="0" borderId="4" xfId="0" applyFont="1" applyBorder="1" applyAlignment="1">
      <alignment horizontal="center" vertical="center" wrapText="1"/>
    </xf>
    <xf numFmtId="0" fontId="9" fillId="10" borderId="1" xfId="7" applyFont="1" applyFill="1" applyBorder="1" applyAlignment="1">
      <alignment horizontal="center" vertical="center" wrapText="1" shrinkToFit="1"/>
    </xf>
    <xf numFmtId="0" fontId="12" fillId="0" borderId="1" xfId="7" applyFont="1" applyBorder="1" applyAlignment="1">
      <alignment horizontal="center" vertical="center" wrapText="1" shrinkToFit="1"/>
    </xf>
    <xf numFmtId="0" fontId="13" fillId="0" borderId="5" xfId="7" applyFont="1" applyBorder="1" applyAlignment="1">
      <alignment horizontal="left" vertical="center" wrapText="1"/>
    </xf>
    <xf numFmtId="0" fontId="12" fillId="0" borderId="9" xfId="7" applyFont="1" applyBorder="1" applyAlignment="1">
      <alignment horizontal="center" vertical="center" wrapText="1" shrinkToFit="1"/>
    </xf>
    <xf numFmtId="0" fontId="13" fillId="0" borderId="13" xfId="7" applyFont="1" applyBorder="1" applyAlignment="1">
      <alignment horizontal="left" vertical="center" wrapText="1"/>
    </xf>
    <xf numFmtId="0" fontId="13" fillId="0" borderId="14" xfId="7" applyFont="1" applyBorder="1" applyAlignment="1">
      <alignment horizontal="center" vertical="center" wrapText="1"/>
    </xf>
    <xf numFmtId="0" fontId="13" fillId="0" borderId="14" xfId="7" applyFont="1" applyBorder="1" applyAlignment="1">
      <alignment horizontal="left" vertical="center" wrapText="1"/>
    </xf>
    <xf numFmtId="0" fontId="13" fillId="0" borderId="15" xfId="7" applyFont="1" applyBorder="1" applyAlignment="1">
      <alignment horizontal="left" vertical="center" wrapText="1"/>
    </xf>
    <xf numFmtId="0" fontId="5" fillId="0" borderId="4" xfId="7" applyFont="1" applyBorder="1" applyAlignment="1">
      <alignment horizontal="center" vertical="center" wrapText="1"/>
    </xf>
    <xf numFmtId="0" fontId="12" fillId="0" borderId="6" xfId="7" applyFont="1" applyBorder="1" applyAlignment="1">
      <alignment horizontal="center" vertical="center" wrapText="1" shrinkToFit="1"/>
    </xf>
    <xf numFmtId="0" fontId="9" fillId="10" borderId="16" xfId="0" applyFont="1" applyFill="1" applyBorder="1" applyAlignment="1">
      <alignment horizontal="center" vertical="center"/>
    </xf>
    <xf numFmtId="0" fontId="9" fillId="10" borderId="19" xfId="0" applyFont="1" applyFill="1" applyBorder="1" applyAlignment="1">
      <alignment horizontal="center" vertical="center"/>
    </xf>
    <xf numFmtId="0" fontId="37" fillId="11" borderId="1" xfId="0" applyFont="1" applyFill="1" applyBorder="1" applyAlignment="1">
      <alignment horizontal="left" vertical="center"/>
    </xf>
    <xf numFmtId="0" fontId="12" fillId="0" borderId="5" xfId="0" applyFont="1" applyBorder="1" applyAlignment="1">
      <alignment horizontal="center" vertical="center" wrapText="1"/>
    </xf>
    <xf numFmtId="0" fontId="5" fillId="0" borderId="1" xfId="17" applyFont="1" applyBorder="1" applyAlignment="1">
      <alignment vertical="top" wrapText="1"/>
    </xf>
    <xf numFmtId="0" fontId="12" fillId="0" borderId="27"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5" xfId="0" applyFont="1" applyBorder="1" applyAlignment="1">
      <alignment horizontal="center" vertical="center" wrapText="1"/>
    </xf>
    <xf numFmtId="0" fontId="5" fillId="0" borderId="1" xfId="6" applyFont="1" applyBorder="1" applyAlignment="1" applyProtection="1">
      <alignment horizontal="center" vertical="center"/>
      <protection locked="0"/>
    </xf>
    <xf numFmtId="0" fontId="5" fillId="0" borderId="1" xfId="17" applyFont="1" applyBorder="1" applyAlignment="1">
      <alignment vertical="center" wrapText="1"/>
    </xf>
    <xf numFmtId="0" fontId="34" fillId="0" borderId="1" xfId="2" applyFont="1" applyBorder="1" applyAlignment="1" applyProtection="1">
      <alignment horizontal="left" vertical="center" wrapText="1"/>
    </xf>
    <xf numFmtId="0" fontId="5" fillId="0" borderId="1" xfId="6" applyFont="1" applyBorder="1" applyAlignment="1">
      <alignment horizontal="left" vertical="top" wrapText="1"/>
    </xf>
  </cellXfs>
  <cellStyles count="19">
    <cellStyle name="20% - Accent4 2" xfId="3" xr:uid="{00000000-0005-0000-0000-000006000000}"/>
    <cellStyle name="Excel Built-in 20% - Accent4" xfId="16" xr:uid="{00000000-0005-0000-0000-000013000000}"/>
    <cellStyle name="Excel Built-in Accent3" xfId="12" xr:uid="{00000000-0005-0000-0000-00000F000000}"/>
    <cellStyle name="Excel Built-in Accent4" xfId="10" xr:uid="{00000000-0005-0000-0000-00000D000000}"/>
    <cellStyle name="Excel Built-in Accent6" xfId="14" xr:uid="{00000000-0005-0000-0000-000011000000}"/>
    <cellStyle name="Excel Built-in Bad" xfId="15" xr:uid="{00000000-0005-0000-0000-000012000000}"/>
    <cellStyle name="Excel Built-in Good" xfId="11" xr:uid="{00000000-0005-0000-0000-00000E000000}"/>
    <cellStyle name="Excel Built-in Neutral" xfId="13" xr:uid="{00000000-0005-0000-0000-000010000000}"/>
    <cellStyle name="Hyperlink" xfId="2" builtinId="8"/>
    <cellStyle name="Normal" xfId="0" builtinId="0"/>
    <cellStyle name="Normal 2" xfId="4" xr:uid="{00000000-0005-0000-0000-000007000000}"/>
    <cellStyle name="Normal 3" xfId="17" xr:uid="{8025FE32-F5AE-4818-BC7B-FFEBBEF689BD}"/>
    <cellStyle name="Normal 3 2" xfId="5" xr:uid="{00000000-0005-0000-0000-000008000000}"/>
    <cellStyle name="Normal_NRA_Acceptance Sheet" xfId="6" xr:uid="{00000000-0005-0000-0000-000009000000}"/>
    <cellStyle name="Normal_QA Example - Acceptance Sheet" xfId="7" xr:uid="{00000000-0005-0000-0000-00000A000000}"/>
    <cellStyle name="Normal_Sheet1 4" xfId="8" xr:uid="{00000000-0005-0000-0000-00000B000000}"/>
    <cellStyle name="Normal_Sheet2" xfId="9" xr:uid="{00000000-0005-0000-0000-00000C000000}"/>
    <cellStyle name="Percent" xfId="1" builtinId="5"/>
    <cellStyle name="Percent 2" xfId="18" xr:uid="{3B45929C-522D-4C91-90E3-0004873EB19A}"/>
  </cellStyles>
  <dxfs count="184">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name val="Cambria"/>
        <charset val="1"/>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name val="Cambria"/>
        <charset val="1"/>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00000"/>
      <rgbColor rgb="FF00FFFF"/>
      <rgbColor rgb="FF9C0006"/>
      <rgbColor rgb="FF006100"/>
      <rgbColor rgb="FF000080"/>
      <rgbColor rgb="FF9C6500"/>
      <rgbColor rgb="FFC00000"/>
      <rgbColor rgb="FF4F81BD"/>
      <rgbColor rgb="FFE6E0EC"/>
      <rgbColor rgb="FF808080"/>
      <rgbColor rgb="FF7CACBC"/>
      <rgbColor rgb="FF963634"/>
      <rgbColor rgb="FFFFFFCC"/>
      <rgbColor rgb="FFF2F2F2"/>
      <rgbColor rgb="FF625B38"/>
      <rgbColor rgb="FFF79646"/>
      <rgbColor rgb="FF595959"/>
      <rgbColor rgb="FFD8BFEB"/>
      <rgbColor rgb="FF000080"/>
      <rgbColor rgb="FFFF00FF"/>
      <rgbColor rgb="FFFFF019"/>
      <rgbColor rgb="FF00FFFF"/>
      <rgbColor rgb="FFC9211E"/>
      <rgbColor rgb="FF632523"/>
      <rgbColor rgb="FF4D5361"/>
      <rgbColor rgb="FF0000FF"/>
      <rgbColor rgb="FF00CCFF"/>
      <rgbColor rgb="FFC3DFF9"/>
      <rgbColor rgb="FFC6EFCE"/>
      <rgbColor rgb="FFFFEB9C"/>
      <rgbColor rgb="FF8AC181"/>
      <rgbColor rgb="FFDA9694"/>
      <rgbColor rgb="FF865600"/>
      <rgbColor rgb="FFFFC7CE"/>
      <rgbColor rgb="FF4A7EBB"/>
      <rgbColor rgb="FF33C533"/>
      <rgbColor rgb="FF9BBB59"/>
      <rgbColor rgb="FFFFC800"/>
      <rgbColor rgb="FFFF8C00"/>
      <rgbColor rgb="FF984807"/>
      <rgbColor rgb="FF8064A2"/>
      <rgbColor rgb="FF878787"/>
      <rgbColor rgb="FF363636"/>
      <rgbColor rgb="FF437381"/>
      <rgbColor rgb="FF1E3E20"/>
      <rgbColor rgb="FF363600"/>
      <rgbColor rgb="FF974706"/>
      <rgbColor rgb="FFBE4B48"/>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Project Quality Dynamics</a:t>
            </a:r>
          </a:p>
        </c:rich>
      </c:tx>
      <c:layout>
        <c:manualLayout>
          <c:xMode val="edge"/>
          <c:yMode val="edge"/>
          <c:x val="0.79509491552652001"/>
          <c:y val="3.4018077239112599E-2"/>
        </c:manualLayout>
      </c:layout>
      <c:overlay val="0"/>
      <c:spPr>
        <a:noFill/>
        <a:ln>
          <a:noFill/>
        </a:ln>
      </c:spPr>
    </c:title>
    <c:autoTitleDeleted val="0"/>
    <c:plotArea>
      <c:layout>
        <c:manualLayout>
          <c:layoutTarget val="inner"/>
          <c:xMode val="edge"/>
          <c:yMode val="edge"/>
          <c:x val="0.13424723553508799"/>
          <c:y val="0.19720624486442101"/>
          <c:w val="0.78583094594232805"/>
          <c:h val="0.73738701725554601"/>
        </c:manualLayout>
      </c:layout>
      <c:lineChart>
        <c:grouping val="standard"/>
        <c:varyColors val="0"/>
        <c:ser>
          <c:idx val="0"/>
          <c:order val="0"/>
          <c:spPr>
            <a:ln w="28440">
              <a:solidFill>
                <a:srgbClr val="4F81BD"/>
              </a:solidFill>
              <a:round/>
            </a:ln>
          </c:spPr>
          <c:marker>
            <c:symbol val="circle"/>
            <c:size val="4"/>
            <c:spPr>
              <a:solidFill>
                <a:srgbClr val="4F81BD"/>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1"/>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6E76-4327-BAAB-E5F77C2EB62E}"/>
            </c:ext>
          </c:extLst>
        </c:ser>
        <c:dLbls>
          <c:showLegendKey val="0"/>
          <c:showVal val="0"/>
          <c:showCatName val="0"/>
          <c:showSerName val="0"/>
          <c:showPercent val="0"/>
          <c:showBubbleSize val="0"/>
        </c:dLbls>
        <c:hiLowLines>
          <c:spPr>
            <a:ln>
              <a:noFill/>
            </a:ln>
          </c:spPr>
        </c:hiLowLines>
        <c:marker val="1"/>
        <c:smooth val="0"/>
        <c:axId val="28695440"/>
        <c:axId val="35234371"/>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6.8000000000000005E-2</c:v>
                </c:pt>
                <c:pt idx="1">
                  <c:v>0.92300000000000004</c:v>
                </c:pt>
                <c:pt idx="2">
                  <c:v>0.14399999999999999</c:v>
                </c:pt>
                <c:pt idx="3">
                  <c:v>0.20200000000000001</c:v>
                </c:pt>
                <c:pt idx="4">
                  <c:v>2.5999999999999999E-2</c:v>
                </c:pt>
                <c:pt idx="5">
                  <c:v>0.55200000000000005</c:v>
                </c:pt>
                <c:pt idx="6">
                  <c:v>0.64</c:v>
                </c:pt>
                <c:pt idx="7">
                  <c:v>0.76100000000000001</c:v>
                </c:pt>
                <c:pt idx="8">
                  <c:v>4.4999999999999998E-2</c:v>
                </c:pt>
              </c:numCache>
            </c:numRef>
          </c:val>
          <c:smooth val="1"/>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Numerical Quality Evaluation</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6E76-4327-BAAB-E5F77C2EB62E}"/>
            </c:ext>
          </c:extLst>
        </c:ser>
        <c:dLbls>
          <c:showLegendKey val="0"/>
          <c:showVal val="0"/>
          <c:showCatName val="0"/>
          <c:showSerName val="0"/>
          <c:showPercent val="0"/>
          <c:showBubbleSize val="0"/>
        </c:dLbls>
        <c:hiLowLines>
          <c:spPr>
            <a:ln>
              <a:noFill/>
            </a:ln>
          </c:spPr>
        </c:hiLowLines>
        <c:marker val="1"/>
        <c:smooth val="0"/>
        <c:axId val="51002833"/>
        <c:axId val="20872206"/>
      </c:lineChart>
      <c:catAx>
        <c:axId val="28695440"/>
        <c:scaling>
          <c:orientation val="minMax"/>
        </c:scaling>
        <c:delete val="1"/>
        <c:axPos val="b"/>
        <c:numFmt formatCode="General" sourceLinked="1"/>
        <c:majorTickMark val="out"/>
        <c:minorTickMark val="none"/>
        <c:tickLblPos val="nextTo"/>
        <c:crossAx val="35234371"/>
        <c:crosses val="autoZero"/>
        <c:auto val="1"/>
        <c:lblAlgn val="ctr"/>
        <c:lblOffset val="100"/>
        <c:noMultiLvlLbl val="1"/>
      </c:catAx>
      <c:valAx>
        <c:axId val="35234371"/>
        <c:scaling>
          <c:orientation val="minMax"/>
        </c:scaling>
        <c:delete val="0"/>
        <c:axPos val="l"/>
        <c:title>
          <c:tx>
            <c:rich>
              <a:bodyPr rot="-5400000"/>
              <a:lstStyle/>
              <a:p>
                <a:pPr>
                  <a:defRPr sz="900" b="1" strike="noStrike" spc="-1">
                    <a:solidFill>
                      <a:srgbClr val="4F81BD"/>
                    </a:solidFill>
                    <a:latin typeface="Arial"/>
                    <a:ea typeface="Calibri"/>
                  </a:defRPr>
                </a:pPr>
                <a:r>
                  <a:rPr sz="900" b="1" strike="noStrike" spc="-1">
                    <a:solidFill>
                      <a:srgbClr val="4F81BD"/>
                    </a:solidFill>
                    <a:latin typeface="Arial"/>
                    <a:ea typeface="Calibri"/>
                  </a:rPr>
                  <a:t>Defects Quantity</a:t>
                </a:r>
              </a:p>
            </c:rich>
          </c:tx>
          <c:layout>
            <c:manualLayout>
              <c:xMode val="edge"/>
              <c:yMode val="edge"/>
              <c:x val="9.6896837934081201E-2"/>
              <c:y val="0.335250616269515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8695440"/>
        <c:crosses val="autoZero"/>
        <c:crossBetween val="midCat"/>
      </c:valAx>
      <c:catAx>
        <c:axId val="51002833"/>
        <c:scaling>
          <c:orientation val="minMax"/>
        </c:scaling>
        <c:delete val="1"/>
        <c:axPos val="b"/>
        <c:numFmt formatCode="General" sourceLinked="1"/>
        <c:majorTickMark val="out"/>
        <c:minorTickMark val="none"/>
        <c:tickLblPos val="nextTo"/>
        <c:crossAx val="20872206"/>
        <c:crosses val="autoZero"/>
        <c:auto val="1"/>
        <c:lblAlgn val="ctr"/>
        <c:lblOffset val="100"/>
        <c:noMultiLvlLbl val="1"/>
      </c:catAx>
      <c:valAx>
        <c:axId val="20872206"/>
        <c:scaling>
          <c:orientation val="minMax"/>
        </c:scaling>
        <c:delete val="0"/>
        <c:axPos val="r"/>
        <c:title>
          <c:tx>
            <c:rich>
              <a:bodyPr rot="-5400000"/>
              <a:lstStyle/>
              <a:p>
                <a:pPr>
                  <a:defRPr sz="900" b="1" strike="noStrike" spc="-1">
                    <a:solidFill>
                      <a:srgbClr val="C00000"/>
                    </a:solidFill>
                    <a:latin typeface="Arial"/>
                    <a:ea typeface="Calibri"/>
                  </a:defRPr>
                </a:pPr>
                <a:r>
                  <a:rPr sz="900" b="1" strike="noStrike" spc="-1">
                    <a:solidFill>
                      <a:srgbClr val="C00000"/>
                    </a:solidFill>
                    <a:latin typeface="Arial"/>
                    <a:ea typeface="Calibri"/>
                  </a:rPr>
                  <a:t>Numerical Quantity 
Evaluation</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1002833"/>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Dynamics by Severity</a:t>
            </a:r>
          </a:p>
        </c:rich>
      </c:tx>
      <c:layout>
        <c:manualLayout>
          <c:xMode val="edge"/>
          <c:yMode val="edge"/>
          <c:x val="0.77900487918894401"/>
          <c:y val="2.4983649444081098E-2"/>
        </c:manualLayout>
      </c:layout>
      <c:overlay val="0"/>
      <c:spPr>
        <a:noFill/>
        <a:ln>
          <a:noFill/>
        </a:ln>
      </c:spPr>
    </c:title>
    <c:autoTitleDeleted val="0"/>
    <c:plotArea>
      <c:layout>
        <c:manualLayout>
          <c:layoutTarget val="inner"/>
          <c:xMode val="edge"/>
          <c:yMode val="edge"/>
          <c:x val="0.12095713910071"/>
          <c:y val="0.15775016350555901"/>
          <c:w val="0.86387939346130305"/>
          <c:h val="0.62171353826030096"/>
        </c:manualLayout>
      </c:layout>
      <c:barChart>
        <c:barDir val="col"/>
        <c:grouping val="clustered"/>
        <c:varyColors val="0"/>
        <c:ser>
          <c:idx val="0"/>
          <c:order val="0"/>
          <c:spPr>
            <a:solidFill>
              <a:srgbClr val="C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1</c:v>
                </c:pt>
                <c:pt idx="1">
                  <c:v>0</c:v>
                </c:pt>
                <c:pt idx="2">
                  <c:v>0</c:v>
                </c:pt>
                <c:pt idx="3">
                  <c:v>0</c:v>
                </c:pt>
                <c:pt idx="4">
                  <c:v>2</c:v>
                </c:pt>
                <c:pt idx="5">
                  <c:v>0</c:v>
                </c:pt>
                <c:pt idx="6">
                  <c:v>0</c:v>
                </c:pt>
                <c:pt idx="7">
                  <c:v>0</c:v>
                </c:pt>
                <c:pt idx="8">
                  <c:v>2</c:v>
                </c:pt>
              </c:numCache>
            </c:numRef>
          </c:val>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Critical</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0-CDC2-4570-9CF4-54DDCDF4CC41}"/>
            </c:ext>
          </c:extLst>
        </c:ser>
        <c:ser>
          <c:idx val="1"/>
          <c:order val="1"/>
          <c:spPr>
            <a:solidFill>
              <a:srgbClr val="F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2</c:v>
                </c:pt>
                <c:pt idx="1">
                  <c:v>0</c:v>
                </c:pt>
                <c:pt idx="2">
                  <c:v>8</c:v>
                </c:pt>
                <c:pt idx="3">
                  <c:v>6</c:v>
                </c:pt>
                <c:pt idx="4">
                  <c:v>7</c:v>
                </c:pt>
                <c:pt idx="5">
                  <c:v>8</c:v>
                </c:pt>
                <c:pt idx="6">
                  <c:v>5</c:v>
                </c:pt>
                <c:pt idx="7">
                  <c:v>3</c:v>
                </c:pt>
                <c:pt idx="8">
                  <c:v>1</c:v>
                </c:pt>
              </c:numCache>
            </c:numRef>
          </c:val>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Major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1-CDC2-4570-9CF4-54DDCDF4CC41}"/>
            </c:ext>
          </c:extLst>
        </c:ser>
        <c:ser>
          <c:idx val="2"/>
          <c:order val="2"/>
          <c:spPr>
            <a:solidFill>
              <a:srgbClr val="FF8C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2</c:f>
              <c:numCache>
                <c:formatCode>General</c:formatCode>
                <c:ptCount val="9"/>
                <c:pt idx="0">
                  <c:v>18</c:v>
                </c:pt>
                <c:pt idx="1">
                  <c:v>0</c:v>
                </c:pt>
                <c:pt idx="2">
                  <c:v>2</c:v>
                </c:pt>
                <c:pt idx="3">
                  <c:v>7</c:v>
                </c:pt>
                <c:pt idx="4">
                  <c:v>2</c:v>
                </c:pt>
                <c:pt idx="5">
                  <c:v>2</c:v>
                </c:pt>
                <c:pt idx="6">
                  <c:v>3</c:v>
                </c:pt>
                <c:pt idx="7">
                  <c:v>2</c:v>
                </c:pt>
                <c:pt idx="8">
                  <c:v>5</c:v>
                </c:pt>
              </c:numCache>
            </c:numRef>
          </c:val>
          <c:extLst>
            <c:ext xmlns:c15="http://schemas.microsoft.com/office/drawing/2012/chart" uri="{02D57815-91ED-43cb-92C2-25804820EDAC}">
              <c15:filteredSeriesTitle>
                <c15:tx>
                  <c:strRef>
                    <c:extLst>
                      <c:ext uri="{02D57815-91ED-43cb-92C2-25804820EDAC}">
                        <c15:formulaRef>
                          <c15:sqref>label 2</c15:sqref>
                        </c15:formulaRef>
                      </c:ext>
                    </c:extLst>
                    <c:strCache>
                      <c:ptCount val="1"/>
                      <c:pt idx="0">
                        <c:v>Average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2-CDC2-4570-9CF4-54DDCDF4CC41}"/>
            </c:ext>
          </c:extLst>
        </c:ser>
        <c:ser>
          <c:idx val="3"/>
          <c:order val="3"/>
          <c:spPr>
            <a:solidFill>
              <a:srgbClr val="FFC8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3</c:f>
              <c:numCache>
                <c:formatCode>General</c:formatCode>
                <c:ptCount val="9"/>
                <c:pt idx="0">
                  <c:v>26</c:v>
                </c:pt>
                <c:pt idx="1">
                  <c:v>0</c:v>
                </c:pt>
                <c:pt idx="2">
                  <c:v>9</c:v>
                </c:pt>
                <c:pt idx="3">
                  <c:v>6</c:v>
                </c:pt>
                <c:pt idx="4">
                  <c:v>7</c:v>
                </c:pt>
                <c:pt idx="5">
                  <c:v>4</c:v>
                </c:pt>
                <c:pt idx="6">
                  <c:v>7</c:v>
                </c:pt>
                <c:pt idx="7">
                  <c:v>6</c:v>
                </c:pt>
                <c:pt idx="8">
                  <c:v>15</c:v>
                </c:pt>
              </c:numCache>
            </c:numRef>
          </c:val>
          <c:extLst>
            <c:ext xmlns:c15="http://schemas.microsoft.com/office/drawing/2012/chart" uri="{02D57815-91ED-43cb-92C2-25804820EDAC}">
              <c15:filteredSeriesTitle>
                <c15:tx>
                  <c:strRef>
                    <c:extLst>
                      <c:ext uri="{02D57815-91ED-43cb-92C2-25804820EDAC}">
                        <c15:formulaRef>
                          <c15:sqref>label 3</c15:sqref>
                        </c15:formulaRef>
                      </c:ext>
                    </c:extLst>
                    <c:strCache>
                      <c:ptCount val="1"/>
                      <c:pt idx="0">
                        <c:v>Minor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3-CDC2-4570-9CF4-54DDCDF4CC41}"/>
            </c:ext>
          </c:extLst>
        </c:ser>
        <c:ser>
          <c:idx val="4"/>
          <c:order val="4"/>
          <c:spPr>
            <a:solidFill>
              <a:srgbClr val="FFF019"/>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4</c:f>
              <c:numCache>
                <c:formatCode>General</c:formatCode>
                <c:ptCount val="9"/>
                <c:pt idx="0">
                  <c:v>5</c:v>
                </c:pt>
                <c:pt idx="1">
                  <c:v>8</c:v>
                </c:pt>
                <c:pt idx="2">
                  <c:v>8</c:v>
                </c:pt>
                <c:pt idx="3">
                  <c:v>0</c:v>
                </c:pt>
                <c:pt idx="4">
                  <c:v>4</c:v>
                </c:pt>
                <c:pt idx="5">
                  <c:v>2</c:v>
                </c:pt>
                <c:pt idx="6">
                  <c:v>8</c:v>
                </c:pt>
                <c:pt idx="7">
                  <c:v>2</c:v>
                </c:pt>
                <c:pt idx="8">
                  <c:v>40</c:v>
                </c:pt>
              </c:numCache>
            </c:numRef>
          </c:val>
          <c:extLst>
            <c:ext xmlns:c15="http://schemas.microsoft.com/office/drawing/2012/chart" uri="{02D57815-91ED-43cb-92C2-25804820EDAC}">
              <c15:filteredSeriesTitle>
                <c15:tx>
                  <c:strRef>
                    <c:extLst>
                      <c:ext uri="{02D57815-91ED-43cb-92C2-25804820EDAC}">
                        <c15:formulaRef>
                          <c15:sqref>label 4</c15:sqref>
                        </c15:formulaRef>
                      </c:ext>
                    </c:extLst>
                    <c:strCache>
                      <c:ptCount val="1"/>
                      <c:pt idx="0">
                        <c:v>Enhancement</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4-CDC2-4570-9CF4-54DDCDF4CC41}"/>
            </c:ext>
          </c:extLst>
        </c:ser>
        <c:dLbls>
          <c:showLegendKey val="0"/>
          <c:showVal val="0"/>
          <c:showCatName val="0"/>
          <c:showSerName val="0"/>
          <c:showPercent val="0"/>
          <c:showBubbleSize val="0"/>
        </c:dLbls>
        <c:gapWidth val="150"/>
        <c:axId val="83938839"/>
        <c:axId val="18384982"/>
      </c:barChart>
      <c:catAx>
        <c:axId val="83938839"/>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90054635229497204"/>
              <c:y val="0.87926749509483304"/>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18384982"/>
        <c:crosses val="autoZero"/>
        <c:auto val="1"/>
        <c:lblAlgn val="ctr"/>
        <c:lblOffset val="100"/>
        <c:noMultiLvlLbl val="1"/>
      </c:catAx>
      <c:valAx>
        <c:axId val="18384982"/>
        <c:scaling>
          <c:orientation val="minMax"/>
        </c:scaling>
        <c:delete val="0"/>
        <c:axPos val="l"/>
        <c:title>
          <c:tx>
            <c:rich>
              <a:bodyPr rot="-5400000"/>
              <a:lstStyle/>
              <a:p>
                <a:pPr>
                  <a:defRPr sz="900" b="1" strike="noStrike" spc="-1">
                    <a:solidFill>
                      <a:srgbClr val="000000"/>
                    </a:solidFill>
                    <a:latin typeface="Arial"/>
                    <a:ea typeface="Calibri"/>
                  </a:defRPr>
                </a:pPr>
                <a:r>
                  <a:rPr sz="900" b="1" strike="noStrike" spc="-1">
                    <a:solidFill>
                      <a:srgbClr val="000000"/>
                    </a:solidFill>
                    <a:latin typeface="Arial"/>
                    <a:ea typeface="Calibri"/>
                  </a:rPr>
                  <a:t>Defects Quantity</a:t>
                </a:r>
              </a:p>
            </c:rich>
          </c:tx>
          <c:layout>
            <c:manualLayout>
              <c:xMode val="edge"/>
              <c:yMode val="edge"/>
              <c:x val="8.0462792532211405E-2"/>
              <c:y val="0.270634401569653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83938839"/>
        <c:crosses val="autoZero"/>
        <c:crossBetween val="between"/>
      </c:valAx>
      <c:spPr>
        <a:solidFill>
          <a:srgbClr val="FFFFFF"/>
        </a:solidFill>
        <a:ln>
          <a:noFill/>
        </a:ln>
      </c:spPr>
    </c:plotArea>
    <c:legend>
      <c:legendPos val="r"/>
      <c:layout>
        <c:manualLayout>
          <c:xMode val="edge"/>
          <c:yMode val="edge"/>
          <c:x val="2.18221494817239E-3"/>
          <c:y val="0.26066933674813098"/>
          <c:w val="7.8295724491067101E-2"/>
          <c:h val="0.41868584766004602"/>
        </c:manualLayout>
      </c:layout>
      <c:overlay val="0"/>
      <c:spPr>
        <a:noFill/>
        <a:ln>
          <a:noFill/>
        </a:ln>
      </c:spPr>
      <c:txPr>
        <a:bodyPr/>
        <a:lstStyle/>
        <a:p>
          <a:pPr>
            <a:defRPr sz="900" b="0" strike="noStrike" spc="-1">
              <a:solidFill>
                <a:srgbClr val="000000"/>
              </a:solidFill>
              <a:latin typeface="Arial"/>
              <a:ea typeface="Calibri"/>
            </a:defRPr>
          </a:pPr>
          <a:endParaRPr lang="en-US"/>
        </a:p>
      </c:txPr>
    </c:legend>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vs. Project Size Dynamics</a:t>
            </a:r>
          </a:p>
        </c:rich>
      </c:tx>
      <c:layout>
        <c:manualLayout>
          <c:xMode val="edge"/>
          <c:yMode val="edge"/>
          <c:x val="0.725898474992002"/>
          <c:y val="3.4205788671929097E-2"/>
        </c:manualLayout>
      </c:layout>
      <c:overlay val="0"/>
      <c:spPr>
        <a:noFill/>
        <a:ln>
          <a:noFill/>
        </a:ln>
      </c:spPr>
    </c:title>
    <c:autoTitleDeleted val="0"/>
    <c:plotArea>
      <c:layout>
        <c:manualLayout>
          <c:layoutTarget val="inner"/>
          <c:xMode val="edge"/>
          <c:yMode val="edge"/>
          <c:x val="0.13383811453556599"/>
          <c:y val="0.197202603517518"/>
          <c:w val="0.79401727631438601"/>
          <c:h val="0.59437751004016104"/>
        </c:manualLayout>
      </c:layout>
      <c:lineChart>
        <c:grouping val="standard"/>
        <c:varyColors val="0"/>
        <c:ser>
          <c:idx val="0"/>
          <c:order val="0"/>
          <c:spPr>
            <a:ln w="28440">
              <a:solidFill>
                <a:srgbClr val="4A7EBB"/>
              </a:solidFill>
              <a:round/>
            </a:ln>
          </c:spPr>
          <c:marker>
            <c:symbol val="circle"/>
            <c:size val="4"/>
            <c:spPr>
              <a:solidFill>
                <a:srgbClr val="4A7EBB"/>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0"/>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973F-4834-9F5A-703715287CDE}"/>
            </c:ext>
          </c:extLst>
        </c:ser>
        <c:dLbls>
          <c:showLegendKey val="0"/>
          <c:showVal val="0"/>
          <c:showCatName val="0"/>
          <c:showSerName val="0"/>
          <c:showPercent val="0"/>
          <c:showBubbleSize val="0"/>
        </c:dLbls>
        <c:hiLowLines>
          <c:spPr>
            <a:ln>
              <a:noFill/>
            </a:ln>
          </c:spPr>
        </c:hiLowLines>
        <c:marker val="1"/>
        <c:smooth val="0"/>
        <c:axId val="50572698"/>
        <c:axId val="24259352"/>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100</c:v>
                </c:pt>
                <c:pt idx="1">
                  <c:v>100</c:v>
                </c:pt>
                <c:pt idx="2">
                  <c:v>100</c:v>
                </c:pt>
                <c:pt idx="3">
                  <c:v>100</c:v>
                </c:pt>
                <c:pt idx="4">
                  <c:v>100</c:v>
                </c:pt>
                <c:pt idx="5">
                  <c:v>300</c:v>
                </c:pt>
                <c:pt idx="6">
                  <c:v>300</c:v>
                </c:pt>
                <c:pt idx="7">
                  <c:v>300</c:v>
                </c:pt>
                <c:pt idx="8">
                  <c:v>100</c:v>
                </c:pt>
              </c:numCache>
            </c:numRef>
          </c:val>
          <c:smooth val="0"/>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Project size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973F-4834-9F5A-703715287CDE}"/>
            </c:ext>
          </c:extLst>
        </c:ser>
        <c:dLbls>
          <c:showLegendKey val="0"/>
          <c:showVal val="0"/>
          <c:showCatName val="0"/>
          <c:showSerName val="0"/>
          <c:showPercent val="0"/>
          <c:showBubbleSize val="0"/>
        </c:dLbls>
        <c:hiLowLines>
          <c:spPr>
            <a:ln>
              <a:noFill/>
            </a:ln>
          </c:spPr>
        </c:hiLowLines>
        <c:marker val="1"/>
        <c:smooth val="0"/>
        <c:axId val="23082996"/>
        <c:axId val="33889398"/>
      </c:lineChart>
      <c:catAx>
        <c:axId val="50572698"/>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85128505918737296"/>
              <c:y val="0.90070627336933895"/>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4259352"/>
        <c:crosses val="autoZero"/>
        <c:auto val="1"/>
        <c:lblAlgn val="ctr"/>
        <c:lblOffset val="100"/>
        <c:noMultiLvlLbl val="1"/>
      </c:catAx>
      <c:valAx>
        <c:axId val="24259352"/>
        <c:scaling>
          <c:orientation val="minMax"/>
        </c:scaling>
        <c:delete val="0"/>
        <c:axPos val="l"/>
        <c:title>
          <c:tx>
            <c:rich>
              <a:bodyPr rot="-5400000"/>
              <a:lstStyle/>
              <a:p>
                <a:pPr>
                  <a:defRPr sz="900" b="1" strike="noStrike" spc="-1">
                    <a:solidFill>
                      <a:srgbClr val="4F81BD"/>
                    </a:solidFill>
                    <a:latin typeface="Arial"/>
                    <a:ea typeface="Calibri"/>
                  </a:defRPr>
                </a:pPr>
                <a:r>
                  <a:rPr sz="900" b="1" strike="noStrike" spc="-1">
                    <a:solidFill>
                      <a:srgbClr val="4F81BD"/>
                    </a:solidFill>
                    <a:latin typeface="Arial"/>
                    <a:ea typeface="Calibri"/>
                  </a:rPr>
                  <a:t>Defects Quantity</a:t>
                </a:r>
              </a:p>
            </c:rich>
          </c:tx>
          <c:layout>
            <c:manualLayout>
              <c:xMode val="edge"/>
              <c:yMode val="edge"/>
              <c:x val="9.4246560733710197E-2"/>
              <c:y val="0.29995845450768599"/>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0572698"/>
        <c:crosses val="autoZero"/>
        <c:crossBetween val="midCat"/>
      </c:valAx>
      <c:catAx>
        <c:axId val="23082996"/>
        <c:scaling>
          <c:orientation val="minMax"/>
        </c:scaling>
        <c:delete val="1"/>
        <c:axPos val="b"/>
        <c:numFmt formatCode="General" sourceLinked="1"/>
        <c:majorTickMark val="out"/>
        <c:minorTickMark val="none"/>
        <c:tickLblPos val="nextTo"/>
        <c:crossAx val="33889398"/>
        <c:crosses val="autoZero"/>
        <c:auto val="1"/>
        <c:lblAlgn val="ctr"/>
        <c:lblOffset val="100"/>
        <c:noMultiLvlLbl val="1"/>
      </c:catAx>
      <c:valAx>
        <c:axId val="33889398"/>
        <c:scaling>
          <c:orientation val="minMax"/>
        </c:scaling>
        <c:delete val="0"/>
        <c:axPos val="r"/>
        <c:title>
          <c:tx>
            <c:rich>
              <a:bodyPr rot="-5400000"/>
              <a:lstStyle/>
              <a:p>
                <a:pPr>
                  <a:defRPr sz="900" b="1" strike="noStrike" spc="-1">
                    <a:solidFill>
                      <a:srgbClr val="C00000"/>
                    </a:solidFill>
                    <a:latin typeface="Arial"/>
                    <a:ea typeface="Calibri"/>
                  </a:defRPr>
                </a:pPr>
                <a:r>
                  <a:rPr sz="900" b="1" strike="noStrike" spc="-1">
                    <a:solidFill>
                      <a:srgbClr val="C00000"/>
                    </a:solidFill>
                    <a:latin typeface="Arial"/>
                    <a:ea typeface="Calibri"/>
                  </a:rPr>
                  <a:t>Project  Size</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3082996"/>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6096000</xdr:colOff>
      <xdr:row>54</xdr:row>
      <xdr:rowOff>28575</xdr:rowOff>
    </xdr:to>
    <xdr:sp macro="" textlink="">
      <xdr:nvSpPr>
        <xdr:cNvPr id="1038" name="_x0000_t202" hidden="1">
          <a:extLst>
            <a:ext uri="{FF2B5EF4-FFF2-40B4-BE49-F238E27FC236}">
              <a16:creationId xmlns:a16="http://schemas.microsoft.com/office/drawing/2014/main" id="{D62847B6-D69C-455D-B9AB-34854FB0209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36" name="_x0000_t202" hidden="1">
          <a:extLst>
            <a:ext uri="{FF2B5EF4-FFF2-40B4-BE49-F238E27FC236}">
              <a16:creationId xmlns:a16="http://schemas.microsoft.com/office/drawing/2014/main" id="{9F2621D2-0945-4BB3-BC0A-5AC2A412D42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34" name="_x0000_t202" hidden="1">
          <a:extLst>
            <a:ext uri="{FF2B5EF4-FFF2-40B4-BE49-F238E27FC236}">
              <a16:creationId xmlns:a16="http://schemas.microsoft.com/office/drawing/2014/main" id="{B7FE6FDD-3251-49AE-A616-A95382B9726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32" name="_x0000_t202" hidden="1">
          <a:extLst>
            <a:ext uri="{FF2B5EF4-FFF2-40B4-BE49-F238E27FC236}">
              <a16:creationId xmlns:a16="http://schemas.microsoft.com/office/drawing/2014/main" id="{8BF95A95-4733-4925-B72A-A8B57B7F3D4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30" name="_x0000_t202" hidden="1">
          <a:extLst>
            <a:ext uri="{FF2B5EF4-FFF2-40B4-BE49-F238E27FC236}">
              <a16:creationId xmlns:a16="http://schemas.microsoft.com/office/drawing/2014/main" id="{5967D5E6-3D9D-48F8-8886-EE66D280BC0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28" name="_x0000_t202" hidden="1">
          <a:extLst>
            <a:ext uri="{FF2B5EF4-FFF2-40B4-BE49-F238E27FC236}">
              <a16:creationId xmlns:a16="http://schemas.microsoft.com/office/drawing/2014/main" id="{E2BA4EEF-1E4B-416D-B1A6-282DC14BA68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6096000</xdr:colOff>
      <xdr:row>54</xdr:row>
      <xdr:rowOff>28575</xdr:rowOff>
    </xdr:to>
    <xdr:sp macro="" textlink="">
      <xdr:nvSpPr>
        <xdr:cNvPr id="1026" name="_x0000_t202" hidden="1">
          <a:extLst>
            <a:ext uri="{FF2B5EF4-FFF2-40B4-BE49-F238E27FC236}">
              <a16:creationId xmlns:a16="http://schemas.microsoft.com/office/drawing/2014/main" id="{B713A813-FE78-4C88-A247-DDEBF314B5F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54</xdr:row>
      <xdr:rowOff>149400</xdr:rowOff>
    </xdr:from>
    <xdr:to>
      <xdr:col>10</xdr:col>
      <xdr:colOff>1018440</xdr:colOff>
      <xdr:row>69</xdr:row>
      <xdr:rowOff>53640</xdr:rowOff>
    </xdr:to>
    <xdr:graphicFrame macro="">
      <xdr:nvGraphicFramePr>
        <xdr:cNvPr id="2" name="Chart 4">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304920</xdr:colOff>
      <xdr:row>69</xdr:row>
      <xdr:rowOff>101880</xdr:rowOff>
    </xdr:from>
    <xdr:to>
      <xdr:col>10</xdr:col>
      <xdr:colOff>199440</xdr:colOff>
      <xdr:row>87</xdr:row>
      <xdr:rowOff>110520</xdr:rowOff>
    </xdr:to>
    <xdr:graphicFrame macro="">
      <xdr:nvGraphicFramePr>
        <xdr:cNvPr id="3" name="Chart 5">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90</xdr:row>
      <xdr:rowOff>44640</xdr:rowOff>
    </xdr:from>
    <xdr:to>
      <xdr:col>10</xdr:col>
      <xdr:colOff>1075680</xdr:colOff>
      <xdr:row>107</xdr:row>
      <xdr:rowOff>52920</xdr:rowOff>
    </xdr:to>
    <xdr:graphicFrame macro="">
      <xdr:nvGraphicFramePr>
        <xdr:cNvPr id="4" name="Chart 4">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2019300</xdr:colOff>
      <xdr:row>35</xdr:row>
      <xdr:rowOff>133350</xdr:rowOff>
    </xdr:to>
    <xdr:sp macro="" textlink="">
      <xdr:nvSpPr>
        <xdr:cNvPr id="3082" name="_x0000_t202" hidden="1">
          <a:extLst>
            <a:ext uri="{FF2B5EF4-FFF2-40B4-BE49-F238E27FC236}">
              <a16:creationId xmlns:a16="http://schemas.microsoft.com/office/drawing/2014/main" id="{FA337FE2-0E56-40D7-A880-EFC15A150D2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3</xdr:col>
      <xdr:colOff>2019300</xdr:colOff>
      <xdr:row>35</xdr:row>
      <xdr:rowOff>133350</xdr:rowOff>
    </xdr:to>
    <xdr:sp macro="" textlink="">
      <xdr:nvSpPr>
        <xdr:cNvPr id="3080" name="_x0000_t202" hidden="1">
          <a:extLst>
            <a:ext uri="{FF2B5EF4-FFF2-40B4-BE49-F238E27FC236}">
              <a16:creationId xmlns:a16="http://schemas.microsoft.com/office/drawing/2014/main" id="{BD45045A-2F6D-4762-91BB-18626B40EE9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3</xdr:col>
      <xdr:colOff>2019300</xdr:colOff>
      <xdr:row>35</xdr:row>
      <xdr:rowOff>133350</xdr:rowOff>
    </xdr:to>
    <xdr:sp macro="" textlink="">
      <xdr:nvSpPr>
        <xdr:cNvPr id="3078" name="_x0000_t202" hidden="1">
          <a:extLst>
            <a:ext uri="{FF2B5EF4-FFF2-40B4-BE49-F238E27FC236}">
              <a16:creationId xmlns:a16="http://schemas.microsoft.com/office/drawing/2014/main" id="{245396F2-2685-489E-AE15-78716EAA320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3</xdr:col>
      <xdr:colOff>2019300</xdr:colOff>
      <xdr:row>35</xdr:row>
      <xdr:rowOff>133350</xdr:rowOff>
    </xdr:to>
    <xdr:sp macro="" textlink="">
      <xdr:nvSpPr>
        <xdr:cNvPr id="3076" name="_x0000_t202" hidden="1">
          <a:extLst>
            <a:ext uri="{FF2B5EF4-FFF2-40B4-BE49-F238E27FC236}">
              <a16:creationId xmlns:a16="http://schemas.microsoft.com/office/drawing/2014/main" id="{C3C3E9F6-93B4-4486-A6B8-6800D87FAD8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3</xdr:col>
      <xdr:colOff>2019300</xdr:colOff>
      <xdr:row>35</xdr:row>
      <xdr:rowOff>133350</xdr:rowOff>
    </xdr:to>
    <xdr:sp macro="" textlink="">
      <xdr:nvSpPr>
        <xdr:cNvPr id="3074" name="_x0000_t202" hidden="1">
          <a:extLst>
            <a:ext uri="{FF2B5EF4-FFF2-40B4-BE49-F238E27FC236}">
              <a16:creationId xmlns:a16="http://schemas.microsoft.com/office/drawing/2014/main" id="{C6B0A3F1-B8B2-48BA-8D71-12E352E3AB8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projectx_test.com/" TargetMode="External"/><Relationship Id="rId2" Type="http://schemas.openxmlformats.org/officeDocument/2006/relationships/hyperlink" Target="http://projectx_uat.com/" TargetMode="External"/><Relationship Id="rId1" Type="http://schemas.openxmlformats.org/officeDocument/2006/relationships/hyperlink" Target="http://projectx_live.com/" TargetMode="External"/><Relationship Id="rId4" Type="http://schemas.openxmlformats.org/officeDocument/2006/relationships/hyperlink" Target="http://projectx_dev.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33"/>
  <sheetViews>
    <sheetView topLeftCell="A73" zoomScale="130" zoomScaleNormal="130" workbookViewId="0">
      <selection activeCell="B88" sqref="B88:C88"/>
    </sheetView>
  </sheetViews>
  <sheetFormatPr defaultRowHeight="12.75" x14ac:dyDescent="0.2"/>
  <cols>
    <col min="1" max="2" width="25.7109375" style="15" customWidth="1"/>
    <col min="3" max="3" width="150.7109375" style="15" customWidth="1"/>
    <col min="4" max="1025" width="9.140625" style="15" customWidth="1"/>
  </cols>
  <sheetData>
    <row r="1" spans="1:17" s="18" customFormat="1" ht="49.15" customHeight="1" x14ac:dyDescent="0.2">
      <c r="A1" s="16" t="s">
        <v>0</v>
      </c>
      <c r="B1" s="17"/>
      <c r="C1" s="17"/>
      <c r="D1" s="17"/>
      <c r="E1" s="17"/>
      <c r="F1" s="17"/>
      <c r="J1" s="19"/>
    </row>
    <row r="2" spans="1:17" ht="12" customHeight="1" x14ac:dyDescent="0.2">
      <c r="A2" s="20"/>
      <c r="B2" s="20"/>
      <c r="C2" s="20"/>
    </row>
    <row r="3" spans="1:17" ht="12" customHeight="1" x14ac:dyDescent="0.2">
      <c r="A3" s="14" t="s">
        <v>1</v>
      </c>
      <c r="B3" s="14"/>
      <c r="C3" s="14"/>
    </row>
    <row r="4" spans="1:17" ht="12" customHeight="1" x14ac:dyDescent="0.2">
      <c r="A4" s="13" t="s">
        <v>2</v>
      </c>
      <c r="B4" s="13"/>
      <c r="C4" s="13"/>
    </row>
    <row r="5" spans="1:17" ht="12" customHeight="1" x14ac:dyDescent="0.2">
      <c r="A5" s="12" t="s">
        <v>3</v>
      </c>
      <c r="B5" s="12"/>
      <c r="C5" s="12"/>
    </row>
    <row r="6" spans="1:17" ht="12" customHeight="1" x14ac:dyDescent="0.2">
      <c r="B6" s="23"/>
      <c r="C6" s="23"/>
    </row>
    <row r="7" spans="1:17" ht="12" customHeight="1" x14ac:dyDescent="0.2">
      <c r="A7" s="11" t="s">
        <v>4</v>
      </c>
      <c r="B7" s="11"/>
      <c r="C7" s="11"/>
    </row>
    <row r="8" spans="1:17" ht="12" customHeight="1" x14ac:dyDescent="0.2">
      <c r="C8" s="23"/>
    </row>
    <row r="9" spans="1:17" ht="12" customHeight="1" x14ac:dyDescent="0.2">
      <c r="A9" s="11" t="s">
        <v>5</v>
      </c>
      <c r="B9" s="11"/>
      <c r="C9" s="11"/>
      <c r="D9" s="25"/>
      <c r="E9" s="25"/>
      <c r="F9" s="25"/>
      <c r="G9" s="25"/>
      <c r="H9" s="25"/>
      <c r="I9" s="25"/>
      <c r="J9" s="25"/>
      <c r="K9" s="25"/>
      <c r="L9" s="25"/>
      <c r="M9" s="25"/>
      <c r="N9" s="25"/>
      <c r="O9" s="25"/>
      <c r="P9" s="25"/>
      <c r="Q9" s="25"/>
    </row>
    <row r="10" spans="1:17" ht="12" customHeight="1" x14ac:dyDescent="0.2">
      <c r="A10" s="26" t="s">
        <v>6</v>
      </c>
      <c r="B10" s="10" t="s">
        <v>7</v>
      </c>
      <c r="C10" s="10"/>
      <c r="D10" s="23"/>
      <c r="E10" s="23"/>
      <c r="F10" s="23"/>
      <c r="G10" s="23"/>
      <c r="H10" s="23"/>
      <c r="I10" s="23"/>
      <c r="J10" s="23"/>
      <c r="K10" s="23"/>
      <c r="L10" s="23"/>
      <c r="M10" s="23"/>
      <c r="N10" s="23"/>
      <c r="O10" s="23"/>
      <c r="P10" s="23"/>
      <c r="Q10" s="23"/>
    </row>
    <row r="11" spans="1:17" ht="11.25" customHeight="1" x14ac:dyDescent="0.2">
      <c r="A11" s="9" t="s">
        <v>8</v>
      </c>
      <c r="B11" s="27" t="s">
        <v>9</v>
      </c>
      <c r="C11" s="28" t="s">
        <v>10</v>
      </c>
      <c r="D11" s="23"/>
      <c r="E11" s="23"/>
      <c r="F11" s="23"/>
      <c r="G11" s="23"/>
      <c r="H11" s="23"/>
      <c r="I11" s="23"/>
      <c r="J11" s="23"/>
      <c r="K11" s="23"/>
      <c r="L11" s="23"/>
      <c r="M11" s="23"/>
      <c r="N11" s="23"/>
      <c r="O11" s="23"/>
      <c r="P11" s="23"/>
      <c r="Q11" s="23"/>
    </row>
    <row r="12" spans="1:17" ht="22.5" x14ac:dyDescent="0.2">
      <c r="A12" s="9"/>
      <c r="B12" s="29" t="s">
        <v>11</v>
      </c>
      <c r="C12" s="30" t="s">
        <v>12</v>
      </c>
      <c r="D12" s="23"/>
      <c r="E12" s="23"/>
      <c r="F12" s="23"/>
      <c r="G12" s="23"/>
      <c r="H12" s="23"/>
      <c r="I12" s="23"/>
      <c r="J12" s="23"/>
      <c r="K12" s="23"/>
      <c r="L12" s="23"/>
      <c r="M12" s="23"/>
      <c r="N12" s="23"/>
      <c r="O12" s="23"/>
      <c r="P12" s="23"/>
      <c r="Q12" s="23"/>
    </row>
    <row r="13" spans="1:17" ht="33.75" x14ac:dyDescent="0.2">
      <c r="A13" s="9"/>
      <c r="B13" s="29" t="s">
        <v>13</v>
      </c>
      <c r="C13" s="30" t="s">
        <v>14</v>
      </c>
      <c r="D13" s="23"/>
      <c r="E13" s="23"/>
      <c r="F13" s="23"/>
      <c r="G13" s="23"/>
      <c r="H13" s="23"/>
      <c r="I13" s="23"/>
      <c r="J13" s="23"/>
      <c r="K13" s="23"/>
      <c r="L13" s="23"/>
      <c r="M13" s="23"/>
      <c r="N13" s="23"/>
      <c r="O13" s="23"/>
      <c r="P13" s="23"/>
      <c r="Q13" s="23"/>
    </row>
    <row r="14" spans="1:17" ht="22.5" x14ac:dyDescent="0.2">
      <c r="A14" s="9"/>
      <c r="B14" s="29" t="s">
        <v>15</v>
      </c>
      <c r="C14" s="30" t="s">
        <v>16</v>
      </c>
      <c r="D14" s="23"/>
      <c r="E14" s="23"/>
      <c r="F14" s="23"/>
      <c r="G14" s="23"/>
      <c r="H14" s="23"/>
      <c r="I14" s="23"/>
      <c r="J14" s="23"/>
      <c r="K14" s="23"/>
      <c r="L14" s="23"/>
      <c r="M14" s="23"/>
      <c r="N14" s="23"/>
      <c r="O14" s="23"/>
      <c r="P14" s="23"/>
      <c r="Q14" s="23"/>
    </row>
    <row r="15" spans="1:17" ht="22.5" x14ac:dyDescent="0.2">
      <c r="A15" s="9"/>
      <c r="B15" s="29" t="s">
        <v>17</v>
      </c>
      <c r="C15" s="30" t="s">
        <v>18</v>
      </c>
      <c r="D15" s="23"/>
      <c r="E15" s="23"/>
      <c r="F15" s="23"/>
      <c r="G15" s="23"/>
      <c r="H15" s="23"/>
      <c r="I15" s="23"/>
      <c r="J15" s="23"/>
      <c r="K15" s="23"/>
      <c r="L15" s="23"/>
      <c r="M15" s="23"/>
      <c r="N15" s="23"/>
      <c r="O15" s="23"/>
      <c r="P15" s="23"/>
      <c r="Q15" s="23"/>
    </row>
    <row r="16" spans="1:17" ht="22.5" x14ac:dyDescent="0.2">
      <c r="A16" s="9"/>
      <c r="B16" s="29" t="s">
        <v>19</v>
      </c>
      <c r="C16" s="31" t="s">
        <v>20</v>
      </c>
      <c r="D16" s="23"/>
      <c r="E16" s="23"/>
      <c r="F16" s="23"/>
      <c r="G16" s="23"/>
      <c r="H16" s="23"/>
      <c r="I16" s="23"/>
      <c r="J16" s="23"/>
      <c r="K16" s="23"/>
      <c r="L16" s="23"/>
      <c r="M16" s="23"/>
      <c r="N16" s="23"/>
      <c r="O16" s="23"/>
      <c r="P16" s="23"/>
      <c r="Q16" s="23"/>
    </row>
    <row r="17" spans="1:17" ht="12" customHeight="1" x14ac:dyDescent="0.2">
      <c r="A17" s="9"/>
      <c r="B17" s="29" t="s">
        <v>21</v>
      </c>
      <c r="C17" s="31" t="s">
        <v>22</v>
      </c>
      <c r="D17" s="23"/>
      <c r="E17" s="23"/>
      <c r="F17" s="23"/>
      <c r="G17" s="23"/>
      <c r="H17" s="23"/>
      <c r="I17" s="23"/>
      <c r="J17" s="23"/>
      <c r="K17" s="23"/>
      <c r="L17" s="23"/>
      <c r="M17" s="23"/>
      <c r="N17" s="23"/>
      <c r="O17" s="23"/>
      <c r="P17" s="23"/>
      <c r="Q17" s="23"/>
    </row>
    <row r="18" spans="1:17" ht="12" customHeight="1" x14ac:dyDescent="0.2">
      <c r="A18" s="9"/>
      <c r="B18" s="21"/>
      <c r="C18" s="32" t="s">
        <v>23</v>
      </c>
      <c r="D18" s="23"/>
      <c r="E18" s="23"/>
      <c r="F18" s="23"/>
      <c r="G18" s="23"/>
      <c r="H18" s="23"/>
      <c r="I18" s="23"/>
      <c r="J18" s="23"/>
      <c r="K18" s="23"/>
      <c r="L18" s="23"/>
      <c r="M18" s="23"/>
      <c r="N18" s="23"/>
      <c r="O18" s="23"/>
      <c r="P18" s="23"/>
      <c r="Q18" s="23"/>
    </row>
    <row r="19" spans="1:17" ht="12" customHeight="1" x14ac:dyDescent="0.2">
      <c r="A19" s="9"/>
      <c r="B19" s="22"/>
      <c r="C19" s="33" t="s">
        <v>23</v>
      </c>
      <c r="D19" s="23"/>
      <c r="E19" s="23"/>
      <c r="F19" s="23"/>
      <c r="G19" s="23"/>
      <c r="H19" s="23"/>
      <c r="I19" s="23"/>
      <c r="J19" s="23"/>
      <c r="K19" s="23"/>
      <c r="L19" s="23"/>
      <c r="M19" s="23"/>
      <c r="N19" s="23"/>
      <c r="O19" s="23"/>
      <c r="P19" s="23"/>
      <c r="Q19" s="23"/>
    </row>
    <row r="20" spans="1:17" ht="12" customHeight="1" x14ac:dyDescent="0.2">
      <c r="A20" s="26" t="s">
        <v>24</v>
      </c>
      <c r="B20" s="10" t="s">
        <v>25</v>
      </c>
      <c r="C20" s="10"/>
      <c r="D20" s="23"/>
      <c r="E20" s="23"/>
      <c r="F20" s="23"/>
      <c r="G20" s="23"/>
      <c r="H20" s="23"/>
      <c r="I20" s="23"/>
      <c r="J20" s="23"/>
      <c r="K20" s="23"/>
      <c r="L20" s="23"/>
      <c r="M20" s="23"/>
      <c r="N20" s="23"/>
      <c r="O20" s="23"/>
      <c r="P20" s="23"/>
      <c r="Q20" s="23"/>
    </row>
    <row r="21" spans="1:17" ht="12" customHeight="1" x14ac:dyDescent="0.2">
      <c r="A21" s="26" t="s">
        <v>26</v>
      </c>
      <c r="B21" s="10" t="s">
        <v>27</v>
      </c>
      <c r="C21" s="10"/>
      <c r="D21" s="23"/>
      <c r="E21" s="23"/>
      <c r="F21" s="23"/>
      <c r="G21" s="23"/>
      <c r="H21" s="23"/>
      <c r="I21" s="23"/>
      <c r="J21" s="23"/>
      <c r="K21" s="23"/>
      <c r="L21" s="23"/>
      <c r="M21" s="23"/>
      <c r="N21" s="23"/>
      <c r="O21" s="23"/>
      <c r="P21" s="23"/>
      <c r="Q21" s="23"/>
    </row>
    <row r="22" spans="1:17" ht="12" customHeight="1" x14ac:dyDescent="0.2">
      <c r="A22" s="26" t="s">
        <v>28</v>
      </c>
      <c r="B22" s="10" t="s">
        <v>29</v>
      </c>
      <c r="C22" s="10"/>
      <c r="D22" s="23"/>
      <c r="E22" s="23"/>
      <c r="F22" s="23"/>
      <c r="G22" s="23"/>
      <c r="H22" s="23"/>
      <c r="I22" s="23"/>
      <c r="J22" s="23"/>
      <c r="K22" s="23"/>
      <c r="L22" s="23"/>
      <c r="M22" s="23"/>
      <c r="N22" s="23"/>
      <c r="O22" s="23"/>
      <c r="P22" s="23"/>
      <c r="Q22" s="23"/>
    </row>
    <row r="23" spans="1:17" ht="12" customHeight="1" x14ac:dyDescent="0.2">
      <c r="A23" s="26" t="s">
        <v>30</v>
      </c>
      <c r="B23" s="10" t="s">
        <v>31</v>
      </c>
      <c r="C23" s="10"/>
      <c r="D23" s="23"/>
      <c r="E23" s="23"/>
      <c r="F23" s="23"/>
      <c r="G23" s="23"/>
      <c r="H23" s="23"/>
      <c r="I23" s="23"/>
      <c r="J23" s="23"/>
      <c r="K23" s="23"/>
      <c r="L23" s="23"/>
      <c r="M23" s="23"/>
      <c r="N23" s="23"/>
      <c r="O23" s="23"/>
      <c r="P23" s="23"/>
      <c r="Q23" s="23"/>
    </row>
    <row r="24" spans="1:17" ht="12" customHeight="1" x14ac:dyDescent="0.2">
      <c r="A24" s="26" t="s">
        <v>32</v>
      </c>
      <c r="B24" s="10" t="s">
        <v>33</v>
      </c>
      <c r="C24" s="10"/>
      <c r="D24" s="23"/>
      <c r="E24" s="23"/>
      <c r="F24" s="23"/>
      <c r="G24" s="23"/>
      <c r="H24" s="23"/>
      <c r="I24" s="23"/>
      <c r="J24" s="23"/>
      <c r="K24" s="23"/>
      <c r="L24" s="23"/>
      <c r="M24" s="23"/>
      <c r="N24" s="23"/>
      <c r="O24" s="23"/>
      <c r="P24" s="23"/>
      <c r="Q24" s="23"/>
    </row>
    <row r="25" spans="1:17" ht="12" customHeight="1" x14ac:dyDescent="0.2">
      <c r="A25" s="26" t="s">
        <v>34</v>
      </c>
      <c r="B25" s="10" t="s">
        <v>35</v>
      </c>
      <c r="C25" s="10"/>
      <c r="D25" s="23"/>
      <c r="E25" s="23"/>
      <c r="F25" s="23"/>
      <c r="G25" s="23"/>
      <c r="H25" s="23"/>
      <c r="I25" s="23"/>
      <c r="J25" s="23"/>
      <c r="K25" s="23"/>
      <c r="L25" s="23"/>
      <c r="M25" s="23"/>
      <c r="N25" s="23"/>
      <c r="O25" s="23"/>
      <c r="P25" s="23"/>
      <c r="Q25" s="23"/>
    </row>
    <row r="26" spans="1:17" ht="12" customHeight="1" x14ac:dyDescent="0.2">
      <c r="A26" s="26" t="s">
        <v>36</v>
      </c>
      <c r="B26" s="10" t="s">
        <v>37</v>
      </c>
      <c r="C26" s="10"/>
      <c r="D26" s="23"/>
      <c r="E26" s="23"/>
      <c r="F26" s="23"/>
      <c r="G26" s="23"/>
      <c r="H26" s="23"/>
      <c r="I26" s="23"/>
      <c r="J26" s="23"/>
      <c r="K26" s="23"/>
      <c r="L26" s="23"/>
      <c r="M26" s="23"/>
      <c r="N26" s="23"/>
      <c r="O26" s="23"/>
      <c r="P26" s="23"/>
      <c r="Q26" s="23"/>
    </row>
    <row r="27" spans="1:17" ht="12" customHeight="1" x14ac:dyDescent="0.2">
      <c r="A27" s="26" t="s">
        <v>38</v>
      </c>
      <c r="B27" s="10" t="s">
        <v>39</v>
      </c>
      <c r="C27" s="10"/>
      <c r="D27" s="23"/>
      <c r="E27" s="23"/>
      <c r="F27" s="23"/>
      <c r="G27" s="23"/>
      <c r="H27" s="23"/>
      <c r="I27" s="23"/>
      <c r="J27" s="23"/>
      <c r="K27" s="23"/>
      <c r="L27" s="23"/>
      <c r="M27" s="23"/>
      <c r="N27" s="23"/>
      <c r="O27" s="23"/>
      <c r="P27" s="23"/>
      <c r="Q27" s="23"/>
    </row>
    <row r="28" spans="1:17" ht="12" customHeight="1" x14ac:dyDescent="0.2">
      <c r="A28" s="26" t="s">
        <v>40</v>
      </c>
      <c r="B28" s="10" t="s">
        <v>41</v>
      </c>
      <c r="C28" s="10"/>
      <c r="D28" s="23"/>
      <c r="E28" s="23"/>
      <c r="F28" s="23"/>
      <c r="G28" s="23"/>
      <c r="H28" s="23"/>
      <c r="I28" s="23"/>
      <c r="J28" s="23"/>
      <c r="K28" s="23"/>
      <c r="L28" s="23"/>
      <c r="M28" s="23"/>
      <c r="N28" s="23"/>
      <c r="O28" s="23"/>
      <c r="P28" s="23"/>
      <c r="Q28" s="23"/>
    </row>
    <row r="29" spans="1:17" ht="12" customHeight="1" x14ac:dyDescent="0.2">
      <c r="A29" s="26" t="s">
        <v>42</v>
      </c>
      <c r="B29" s="10" t="s">
        <v>43</v>
      </c>
      <c r="C29" s="10"/>
    </row>
    <row r="30" spans="1:17" ht="12" customHeight="1" x14ac:dyDescent="0.2">
      <c r="B30" s="34"/>
      <c r="C30" s="34"/>
    </row>
    <row r="31" spans="1:17" ht="12" customHeight="1" x14ac:dyDescent="0.2"/>
    <row r="32" spans="1:17" ht="12" customHeight="1" x14ac:dyDescent="0.2">
      <c r="A32" s="11" t="s">
        <v>44</v>
      </c>
      <c r="B32" s="11"/>
      <c r="C32" s="11"/>
    </row>
    <row r="33" spans="1:3" ht="12" customHeight="1" x14ac:dyDescent="0.2">
      <c r="A33" s="26" t="s">
        <v>40</v>
      </c>
      <c r="B33" s="10" t="s">
        <v>45</v>
      </c>
      <c r="C33" s="10"/>
    </row>
    <row r="34" spans="1:3" ht="12" customHeight="1" x14ac:dyDescent="0.2">
      <c r="A34" s="26" t="s">
        <v>46</v>
      </c>
      <c r="B34" s="10" t="s">
        <v>47</v>
      </c>
      <c r="C34" s="10"/>
    </row>
    <row r="35" spans="1:3" ht="12" customHeight="1" x14ac:dyDescent="0.2">
      <c r="A35" s="26" t="s">
        <v>42</v>
      </c>
      <c r="B35" s="10" t="s">
        <v>43</v>
      </c>
      <c r="C35" s="10"/>
    </row>
    <row r="36" spans="1:3" ht="12" customHeight="1" x14ac:dyDescent="0.2"/>
    <row r="37" spans="1:3" ht="12" customHeight="1" x14ac:dyDescent="0.2"/>
    <row r="38" spans="1:3" ht="12" customHeight="1" x14ac:dyDescent="0.2">
      <c r="A38" s="11" t="s">
        <v>48</v>
      </c>
      <c r="B38" s="11"/>
      <c r="C38" s="11"/>
    </row>
    <row r="39" spans="1:3" ht="12" customHeight="1" x14ac:dyDescent="0.2">
      <c r="A39" s="26" t="s">
        <v>49</v>
      </c>
      <c r="B39" s="10" t="s">
        <v>50</v>
      </c>
      <c r="C39" s="10"/>
    </row>
    <row r="40" spans="1:3" ht="12" customHeight="1" x14ac:dyDescent="0.2">
      <c r="A40" s="26" t="s">
        <v>51</v>
      </c>
      <c r="B40" s="10" t="s">
        <v>52</v>
      </c>
      <c r="C40" s="10"/>
    </row>
    <row r="41" spans="1:3" ht="12" customHeight="1" x14ac:dyDescent="0.2">
      <c r="A41" s="26" t="s">
        <v>53</v>
      </c>
      <c r="B41" s="10" t="s">
        <v>54</v>
      </c>
      <c r="C41" s="10"/>
    </row>
    <row r="42" spans="1:3" ht="12" customHeight="1" x14ac:dyDescent="0.2">
      <c r="A42" s="26" t="s">
        <v>55</v>
      </c>
      <c r="B42" s="10" t="s">
        <v>56</v>
      </c>
      <c r="C42" s="10"/>
    </row>
    <row r="43" spans="1:3" ht="12" customHeight="1" x14ac:dyDescent="0.2">
      <c r="A43" s="26" t="s">
        <v>57</v>
      </c>
      <c r="B43" s="10" t="s">
        <v>58</v>
      </c>
      <c r="C43" s="10"/>
    </row>
    <row r="44" spans="1:3" ht="12" customHeight="1" x14ac:dyDescent="0.2">
      <c r="A44" s="26" t="s">
        <v>59</v>
      </c>
      <c r="B44" s="10" t="s">
        <v>60</v>
      </c>
      <c r="C44" s="10"/>
    </row>
    <row r="45" spans="1:3" ht="12" customHeight="1" x14ac:dyDescent="0.2">
      <c r="A45" s="26" t="s">
        <v>42</v>
      </c>
      <c r="B45" s="10" t="s">
        <v>43</v>
      </c>
      <c r="C45" s="10"/>
    </row>
    <row r="46" spans="1:3" ht="12" customHeight="1" x14ac:dyDescent="0.2"/>
    <row r="47" spans="1:3" ht="12" customHeight="1" x14ac:dyDescent="0.2"/>
    <row r="48" spans="1:3" ht="12" customHeight="1" x14ac:dyDescent="0.2">
      <c r="A48" s="11" t="s">
        <v>61</v>
      </c>
      <c r="B48" s="11"/>
      <c r="C48" s="11"/>
    </row>
    <row r="49" spans="1:23" ht="12" customHeight="1" x14ac:dyDescent="0.2">
      <c r="A49" s="26" t="s">
        <v>62</v>
      </c>
      <c r="B49" s="10" t="s">
        <v>63</v>
      </c>
      <c r="C49" s="10"/>
    </row>
    <row r="50" spans="1:23" ht="12" customHeight="1" x14ac:dyDescent="0.2">
      <c r="A50" s="26" t="s">
        <v>64</v>
      </c>
      <c r="B50" s="10" t="s">
        <v>65</v>
      </c>
      <c r="C50" s="10"/>
    </row>
    <row r="51" spans="1:23" ht="12" customHeight="1" x14ac:dyDescent="0.2">
      <c r="A51" s="26" t="s">
        <v>66</v>
      </c>
      <c r="B51" s="10" t="s">
        <v>67</v>
      </c>
      <c r="C51" s="10"/>
    </row>
    <row r="52" spans="1:23" ht="12" customHeight="1" x14ac:dyDescent="0.2">
      <c r="A52" s="26" t="s">
        <v>68</v>
      </c>
      <c r="B52" s="10" t="s">
        <v>69</v>
      </c>
      <c r="C52" s="10"/>
    </row>
    <row r="53" spans="1:23" ht="12" customHeight="1" x14ac:dyDescent="0.2">
      <c r="A53" s="26" t="s">
        <v>70</v>
      </c>
      <c r="B53" s="10" t="s">
        <v>71</v>
      </c>
      <c r="C53" s="10"/>
    </row>
    <row r="54" spans="1:23" ht="12" customHeight="1" x14ac:dyDescent="0.2">
      <c r="A54" s="26" t="s">
        <v>72</v>
      </c>
      <c r="B54" s="10" t="s">
        <v>73</v>
      </c>
      <c r="C54" s="10"/>
    </row>
    <row r="55" spans="1:23" ht="12" customHeight="1" x14ac:dyDescent="0.2">
      <c r="A55" s="26" t="s">
        <v>74</v>
      </c>
      <c r="B55" s="10" t="s">
        <v>75</v>
      </c>
      <c r="C55" s="10"/>
    </row>
    <row r="56" spans="1:23" ht="12" customHeight="1" x14ac:dyDescent="0.2">
      <c r="A56" s="26" t="s">
        <v>76</v>
      </c>
      <c r="B56" s="10" t="s">
        <v>77</v>
      </c>
      <c r="C56" s="10"/>
    </row>
    <row r="57" spans="1:23" ht="12" customHeight="1" x14ac:dyDescent="0.2">
      <c r="A57" s="26" t="s">
        <v>42</v>
      </c>
      <c r="B57" s="10" t="s">
        <v>43</v>
      </c>
      <c r="C57" s="10"/>
    </row>
    <row r="58" spans="1:23" ht="12" customHeight="1" x14ac:dyDescent="0.2"/>
    <row r="59" spans="1:23" s="35" customFormat="1" ht="12" customHeight="1" x14ac:dyDescent="0.2">
      <c r="Q59" s="15"/>
      <c r="R59" s="15"/>
      <c r="W59" s="15"/>
    </row>
    <row r="60" spans="1:23" s="35" customFormat="1" ht="12" customHeight="1" x14ac:dyDescent="0.2">
      <c r="A60" s="11" t="s">
        <v>78</v>
      </c>
      <c r="B60" s="11"/>
      <c r="C60" s="11"/>
      <c r="Q60" s="15"/>
      <c r="R60" s="15"/>
      <c r="W60" s="15"/>
    </row>
    <row r="61" spans="1:23" ht="12" customHeight="1" x14ac:dyDescent="0.2">
      <c r="A61" s="26" t="s">
        <v>79</v>
      </c>
      <c r="B61" s="10" t="s">
        <v>80</v>
      </c>
      <c r="C61" s="10"/>
    </row>
    <row r="62" spans="1:23" ht="12" customHeight="1" x14ac:dyDescent="0.2">
      <c r="A62" s="26" t="s">
        <v>81</v>
      </c>
      <c r="B62" s="10" t="s">
        <v>82</v>
      </c>
      <c r="C62" s="10"/>
    </row>
    <row r="63" spans="1:23" ht="12" customHeight="1" x14ac:dyDescent="0.2">
      <c r="A63" s="26" t="s">
        <v>74</v>
      </c>
      <c r="B63" s="10" t="s">
        <v>83</v>
      </c>
      <c r="C63" s="10"/>
    </row>
    <row r="64" spans="1:23" ht="12" customHeight="1" x14ac:dyDescent="0.2">
      <c r="A64" s="26" t="s">
        <v>76</v>
      </c>
      <c r="B64" s="10" t="s">
        <v>84</v>
      </c>
      <c r="C64" s="10"/>
    </row>
    <row r="65" spans="1:23" ht="12" customHeight="1" x14ac:dyDescent="0.2">
      <c r="A65" s="26" t="s">
        <v>42</v>
      </c>
      <c r="B65" s="10" t="s">
        <v>43</v>
      </c>
      <c r="C65" s="10"/>
    </row>
    <row r="66" spans="1:23" ht="12" customHeight="1" x14ac:dyDescent="0.2">
      <c r="A66" s="35"/>
      <c r="B66" s="34"/>
      <c r="C66" s="34"/>
    </row>
    <row r="67" spans="1:23" ht="12" customHeight="1" x14ac:dyDescent="0.2">
      <c r="A67" s="35"/>
      <c r="B67" s="34"/>
      <c r="C67" s="34"/>
    </row>
    <row r="68" spans="1:23" ht="12" customHeight="1" x14ac:dyDescent="0.2">
      <c r="A68" s="11" t="s">
        <v>85</v>
      </c>
      <c r="B68" s="11"/>
      <c r="C68" s="11"/>
    </row>
    <row r="69" spans="1:23" ht="12" customHeight="1" x14ac:dyDescent="0.2">
      <c r="A69" s="26" t="s">
        <v>86</v>
      </c>
      <c r="B69" s="10" t="s">
        <v>87</v>
      </c>
      <c r="C69" s="10"/>
    </row>
    <row r="70" spans="1:23" ht="12" customHeight="1" x14ac:dyDescent="0.2">
      <c r="A70" s="26" t="s">
        <v>88</v>
      </c>
      <c r="B70" s="10" t="s">
        <v>89</v>
      </c>
      <c r="C70" s="10"/>
    </row>
    <row r="71" spans="1:23" ht="12" customHeight="1" x14ac:dyDescent="0.2">
      <c r="A71" s="26" t="s">
        <v>90</v>
      </c>
      <c r="B71" s="10" t="s">
        <v>91</v>
      </c>
      <c r="C71" s="10"/>
    </row>
    <row r="72" spans="1:23" ht="12" customHeight="1" x14ac:dyDescent="0.2">
      <c r="A72" s="26" t="s">
        <v>92</v>
      </c>
      <c r="B72" s="10" t="s">
        <v>93</v>
      </c>
      <c r="C72" s="10"/>
    </row>
    <row r="73" spans="1:23" ht="12" customHeight="1" x14ac:dyDescent="0.2">
      <c r="A73" s="26" t="s">
        <v>94</v>
      </c>
      <c r="B73" s="10" t="s">
        <v>95</v>
      </c>
      <c r="C73" s="10"/>
    </row>
    <row r="74" spans="1:23" s="35" customFormat="1" ht="12" customHeight="1" x14ac:dyDescent="0.2">
      <c r="A74" s="26" t="s">
        <v>59</v>
      </c>
      <c r="B74" s="10" t="s">
        <v>60</v>
      </c>
      <c r="C74" s="10"/>
      <c r="Q74" s="15"/>
      <c r="W74" s="15"/>
    </row>
    <row r="75" spans="1:23" s="35" customFormat="1" ht="12" customHeight="1" x14ac:dyDescent="0.2">
      <c r="A75" s="26" t="s">
        <v>42</v>
      </c>
      <c r="B75" s="10" t="s">
        <v>43</v>
      </c>
      <c r="C75" s="10"/>
      <c r="Q75" s="15"/>
      <c r="W75" s="15"/>
    </row>
    <row r="76" spans="1:23" s="35" customFormat="1" ht="11.25" x14ac:dyDescent="0.2">
      <c r="Q76" s="15"/>
      <c r="W76" s="15"/>
    </row>
    <row r="77" spans="1:23" s="35" customFormat="1" ht="11.25" x14ac:dyDescent="0.2">
      <c r="Q77" s="15"/>
      <c r="W77" s="15"/>
    </row>
    <row r="78" spans="1:23" s="35" customFormat="1" ht="12" customHeight="1" x14ac:dyDescent="0.2">
      <c r="A78" s="11" t="s">
        <v>96</v>
      </c>
      <c r="B78" s="11"/>
      <c r="C78" s="11"/>
      <c r="Q78" s="15"/>
      <c r="W78" s="15"/>
    </row>
    <row r="79" spans="1:23" s="35" customFormat="1" ht="12" customHeight="1" x14ac:dyDescent="0.2">
      <c r="A79" s="36" t="s">
        <v>97</v>
      </c>
      <c r="B79" s="10" t="s">
        <v>98</v>
      </c>
      <c r="C79" s="10"/>
      <c r="Q79" s="15"/>
      <c r="W79" s="15"/>
    </row>
    <row r="80" spans="1:23" s="35" customFormat="1" ht="12" customHeight="1" x14ac:dyDescent="0.2">
      <c r="A80" s="36" t="s">
        <v>99</v>
      </c>
      <c r="B80" s="10" t="s">
        <v>100</v>
      </c>
      <c r="C80" s="10"/>
      <c r="Q80" s="15"/>
      <c r="W80" s="15"/>
    </row>
    <row r="81" spans="1:23" s="35" customFormat="1" ht="12" customHeight="1" x14ac:dyDescent="0.2">
      <c r="A81" s="36" t="s">
        <v>94</v>
      </c>
      <c r="B81" s="10" t="s">
        <v>95</v>
      </c>
      <c r="C81" s="10"/>
      <c r="Q81" s="15"/>
      <c r="W81" s="15"/>
    </row>
    <row r="82" spans="1:23" s="35" customFormat="1" ht="12" customHeight="1" x14ac:dyDescent="0.2">
      <c r="A82" s="36" t="s">
        <v>92</v>
      </c>
      <c r="B82" s="10" t="s">
        <v>93</v>
      </c>
      <c r="C82" s="10"/>
      <c r="Q82" s="15"/>
      <c r="W82" s="15"/>
    </row>
    <row r="83" spans="1:23" s="35" customFormat="1" ht="12" customHeight="1" x14ac:dyDescent="0.2">
      <c r="A83" s="36" t="s">
        <v>90</v>
      </c>
      <c r="B83" s="10" t="s">
        <v>91</v>
      </c>
      <c r="C83" s="10"/>
      <c r="Q83" s="15"/>
      <c r="W83" s="15"/>
    </row>
    <row r="84" spans="1:23" s="35" customFormat="1" ht="12" customHeight="1" x14ac:dyDescent="0.2">
      <c r="A84" s="36" t="s">
        <v>88</v>
      </c>
      <c r="B84" s="10" t="s">
        <v>89</v>
      </c>
      <c r="C84" s="10"/>
      <c r="Q84" s="15"/>
      <c r="W84" s="15"/>
    </row>
    <row r="85" spans="1:23" s="35" customFormat="1" ht="12" customHeight="1" x14ac:dyDescent="0.2">
      <c r="A85" s="36" t="s">
        <v>86</v>
      </c>
      <c r="B85" s="10" t="s">
        <v>87</v>
      </c>
      <c r="C85" s="10"/>
      <c r="Q85" s="15"/>
      <c r="W85" s="15"/>
    </row>
    <row r="86" spans="1:23" s="35" customFormat="1" ht="12" customHeight="1" x14ac:dyDescent="0.2">
      <c r="A86" s="36" t="s">
        <v>101</v>
      </c>
      <c r="B86" s="10" t="s">
        <v>102</v>
      </c>
      <c r="C86" s="10"/>
      <c r="Q86" s="15"/>
      <c r="W86" s="15"/>
    </row>
    <row r="87" spans="1:23" s="35" customFormat="1" ht="12" customHeight="1" x14ac:dyDescent="0.2">
      <c r="A87" s="36" t="s">
        <v>103</v>
      </c>
      <c r="B87" s="10" t="s">
        <v>104</v>
      </c>
      <c r="C87" s="10"/>
      <c r="Q87" s="15"/>
      <c r="W87" s="15"/>
    </row>
    <row r="88" spans="1:23" s="35" customFormat="1" ht="12" customHeight="1" x14ac:dyDescent="0.2">
      <c r="A88" s="36" t="s">
        <v>105</v>
      </c>
      <c r="B88" s="10" t="s">
        <v>106</v>
      </c>
      <c r="C88" s="10"/>
      <c r="Q88" s="15"/>
      <c r="W88" s="15"/>
    </row>
    <row r="89" spans="1:23" s="35" customFormat="1" ht="12" customHeight="1" x14ac:dyDescent="0.2">
      <c r="Q89" s="15"/>
      <c r="W89" s="15"/>
    </row>
    <row r="90" spans="1:23" s="35" customFormat="1" ht="12" customHeight="1" x14ac:dyDescent="0.2">
      <c r="Q90" s="15"/>
      <c r="W90" s="15"/>
    </row>
    <row r="91" spans="1:23" s="35" customFormat="1" ht="12" customHeight="1" x14ac:dyDescent="0.2">
      <c r="A91" s="11" t="s">
        <v>107</v>
      </c>
      <c r="B91" s="11"/>
      <c r="C91" s="11"/>
      <c r="Q91" s="15"/>
      <c r="W91" s="15"/>
    </row>
    <row r="92" spans="1:23" s="35" customFormat="1" ht="37.9" customHeight="1" x14ac:dyDescent="0.2">
      <c r="A92" s="37" t="s">
        <v>108</v>
      </c>
      <c r="B92" s="8" t="s">
        <v>109</v>
      </c>
      <c r="C92" s="8"/>
      <c r="Q92" s="15"/>
      <c r="W92" s="15"/>
    </row>
    <row r="93" spans="1:23" s="35" customFormat="1" ht="37.9" customHeight="1" x14ac:dyDescent="0.2">
      <c r="A93" s="38" t="s">
        <v>110</v>
      </c>
      <c r="B93" s="8" t="s">
        <v>111</v>
      </c>
      <c r="C93" s="8"/>
      <c r="Q93" s="15"/>
      <c r="W93" s="15"/>
    </row>
    <row r="94" spans="1:23" s="35" customFormat="1" ht="37.9" customHeight="1" x14ac:dyDescent="0.2">
      <c r="A94" s="39" t="s">
        <v>112</v>
      </c>
      <c r="B94" s="8" t="s">
        <v>113</v>
      </c>
      <c r="C94" s="8"/>
      <c r="Q94" s="15"/>
      <c r="W94" s="15"/>
    </row>
    <row r="95" spans="1:23" s="35" customFormat="1" ht="37.9" customHeight="1" x14ac:dyDescent="0.2">
      <c r="A95" s="40" t="s">
        <v>114</v>
      </c>
      <c r="B95" s="8" t="s">
        <v>115</v>
      </c>
      <c r="C95" s="8"/>
      <c r="Q95" s="15"/>
      <c r="W95" s="15"/>
    </row>
    <row r="96" spans="1:23" s="35" customFormat="1" ht="37.9" customHeight="1" x14ac:dyDescent="0.2">
      <c r="A96" s="41" t="s">
        <v>116</v>
      </c>
      <c r="B96" s="8" t="s">
        <v>117</v>
      </c>
      <c r="C96" s="8"/>
      <c r="Q96" s="15"/>
      <c r="W96" s="15"/>
    </row>
    <row r="97" spans="1:23" s="35" customFormat="1" ht="37.9" customHeight="1" x14ac:dyDescent="0.2">
      <c r="A97" s="42" t="s">
        <v>118</v>
      </c>
      <c r="B97" s="8" t="s">
        <v>119</v>
      </c>
      <c r="C97" s="8"/>
      <c r="Q97" s="15"/>
      <c r="W97" s="15"/>
    </row>
    <row r="98" spans="1:23" s="35" customFormat="1" ht="37.9" customHeight="1" x14ac:dyDescent="0.2">
      <c r="A98" s="43" t="s">
        <v>120</v>
      </c>
      <c r="B98" s="8" t="s">
        <v>121</v>
      </c>
      <c r="C98" s="8"/>
      <c r="Q98" s="15"/>
      <c r="W98" s="15"/>
    </row>
    <row r="99" spans="1:23" s="35" customFormat="1" ht="12" customHeight="1" x14ac:dyDescent="0.2">
      <c r="Q99" s="15"/>
      <c r="W99" s="15"/>
    </row>
    <row r="100" spans="1:23" s="35" customFormat="1" ht="12" customHeight="1" x14ac:dyDescent="0.2">
      <c r="W100" s="15"/>
    </row>
    <row r="101" spans="1:23" s="35" customFormat="1" ht="12" customHeight="1" x14ac:dyDescent="0.2">
      <c r="A101" s="11" t="s">
        <v>122</v>
      </c>
      <c r="B101" s="11"/>
      <c r="C101" s="11"/>
      <c r="W101" s="15"/>
    </row>
    <row r="102" spans="1:23" s="35" customFormat="1" ht="12" customHeight="1" x14ac:dyDescent="0.2">
      <c r="A102" s="7" t="s">
        <v>123</v>
      </c>
      <c r="B102" s="7"/>
      <c r="C102" s="7"/>
      <c r="Q102" s="15"/>
      <c r="W102" s="15"/>
    </row>
    <row r="103" spans="1:23" s="35" customFormat="1" ht="12" customHeight="1" x14ac:dyDescent="0.2">
      <c r="A103" s="44"/>
    </row>
    <row r="104" spans="1:23" ht="12" customHeight="1" x14ac:dyDescent="0.2">
      <c r="A104" s="45"/>
      <c r="B104" s="46"/>
    </row>
    <row r="105" spans="1:23" ht="12" customHeight="1" x14ac:dyDescent="0.2">
      <c r="A105" s="47"/>
      <c r="B105" s="46"/>
    </row>
    <row r="106" spans="1:23" ht="12" customHeight="1" x14ac:dyDescent="0.2">
      <c r="B106" s="47"/>
      <c r="C106" s="46"/>
    </row>
    <row r="107" spans="1:23" ht="12" customHeight="1" x14ac:dyDescent="0.2">
      <c r="A107" s="47"/>
      <c r="B107" s="46"/>
    </row>
    <row r="108" spans="1:23" ht="12" customHeight="1" x14ac:dyDescent="0.2">
      <c r="C108" s="46"/>
    </row>
    <row r="109" spans="1:23" x14ac:dyDescent="0.2">
      <c r="C109" s="46"/>
    </row>
    <row r="110" spans="1:23" x14ac:dyDescent="0.2">
      <c r="C110" s="46"/>
    </row>
    <row r="111" spans="1:23" x14ac:dyDescent="0.2">
      <c r="B111" s="47"/>
      <c r="C111" s="46"/>
    </row>
    <row r="112" spans="1:23" x14ac:dyDescent="0.2">
      <c r="A112" s="45"/>
      <c r="B112" s="46"/>
    </row>
    <row r="113" spans="1:2" x14ac:dyDescent="0.2">
      <c r="A113" s="45"/>
      <c r="B113" s="46"/>
    </row>
    <row r="114" spans="1:2" x14ac:dyDescent="0.2">
      <c r="A114" s="48"/>
      <c r="B114" s="46"/>
    </row>
    <row r="115" spans="1:2" x14ac:dyDescent="0.2">
      <c r="A115" s="48"/>
      <c r="B115" s="46"/>
    </row>
    <row r="116" spans="1:2" x14ac:dyDescent="0.2">
      <c r="A116" s="47"/>
      <c r="B116" s="46"/>
    </row>
    <row r="117" spans="1:2" x14ac:dyDescent="0.2">
      <c r="A117" s="47"/>
      <c r="B117" s="46"/>
    </row>
    <row r="118" spans="1:2" x14ac:dyDescent="0.2">
      <c r="A118" s="47"/>
    </row>
    <row r="119" spans="1:2" x14ac:dyDescent="0.2">
      <c r="A119" s="47"/>
    </row>
    <row r="120" spans="1:2" x14ac:dyDescent="0.2">
      <c r="A120" s="47"/>
    </row>
    <row r="121" spans="1:2" x14ac:dyDescent="0.2">
      <c r="A121" s="47"/>
    </row>
    <row r="122" spans="1:2" x14ac:dyDescent="0.2">
      <c r="A122" s="47"/>
    </row>
    <row r="123" spans="1:2" x14ac:dyDescent="0.2">
      <c r="A123" s="47"/>
    </row>
    <row r="124" spans="1:2" x14ac:dyDescent="0.2">
      <c r="A124" s="47"/>
    </row>
    <row r="125" spans="1:2" x14ac:dyDescent="0.2">
      <c r="A125" s="47"/>
    </row>
    <row r="126" spans="1:2" x14ac:dyDescent="0.2">
      <c r="A126" s="47"/>
    </row>
    <row r="127" spans="1:2" x14ac:dyDescent="0.2">
      <c r="A127" s="47"/>
    </row>
    <row r="129" spans="1:1" x14ac:dyDescent="0.2">
      <c r="A129" s="47"/>
    </row>
    <row r="130" spans="1:1" x14ac:dyDescent="0.2">
      <c r="A130" s="47"/>
    </row>
    <row r="133" spans="1:1" x14ac:dyDescent="0.2">
      <c r="A133" s="47"/>
    </row>
  </sheetData>
  <mergeCells count="74">
    <mergeCell ref="B97:C97"/>
    <mergeCell ref="B98:C98"/>
    <mergeCell ref="A101:C101"/>
    <mergeCell ref="A102:C102"/>
    <mergeCell ref="B92:C92"/>
    <mergeCell ref="B93:C93"/>
    <mergeCell ref="B94:C94"/>
    <mergeCell ref="B95:C95"/>
    <mergeCell ref="B96:C96"/>
    <mergeCell ref="B85:C85"/>
    <mergeCell ref="B86:C86"/>
    <mergeCell ref="B87:C87"/>
    <mergeCell ref="B88:C88"/>
    <mergeCell ref="A91:C91"/>
    <mergeCell ref="B80:C80"/>
    <mergeCell ref="B81:C81"/>
    <mergeCell ref="B82:C82"/>
    <mergeCell ref="B83:C83"/>
    <mergeCell ref="B84:C84"/>
    <mergeCell ref="B73:C73"/>
    <mergeCell ref="B74:C74"/>
    <mergeCell ref="B75:C75"/>
    <mergeCell ref="A78:C78"/>
    <mergeCell ref="B79:C79"/>
    <mergeCell ref="A68:C68"/>
    <mergeCell ref="B69:C69"/>
    <mergeCell ref="B70:C70"/>
    <mergeCell ref="B71:C71"/>
    <mergeCell ref="B72:C72"/>
    <mergeCell ref="B61:C61"/>
    <mergeCell ref="B62:C62"/>
    <mergeCell ref="B63:C63"/>
    <mergeCell ref="B64:C64"/>
    <mergeCell ref="B65:C65"/>
    <mergeCell ref="B54:C54"/>
    <mergeCell ref="B55:C55"/>
    <mergeCell ref="B56:C56"/>
    <mergeCell ref="B57:C57"/>
    <mergeCell ref="A60:C60"/>
    <mergeCell ref="B49:C49"/>
    <mergeCell ref="B50:C50"/>
    <mergeCell ref="B51:C51"/>
    <mergeCell ref="B52:C52"/>
    <mergeCell ref="B53:C53"/>
    <mergeCell ref="B42:C42"/>
    <mergeCell ref="B43:C43"/>
    <mergeCell ref="B44:C44"/>
    <mergeCell ref="B45:C45"/>
    <mergeCell ref="A48:C48"/>
    <mergeCell ref="B35:C35"/>
    <mergeCell ref="A38:C38"/>
    <mergeCell ref="B39:C39"/>
    <mergeCell ref="B40:C40"/>
    <mergeCell ref="B41:C41"/>
    <mergeCell ref="B28:C28"/>
    <mergeCell ref="B29:C29"/>
    <mergeCell ref="A32:C32"/>
    <mergeCell ref="B33:C33"/>
    <mergeCell ref="B34:C34"/>
    <mergeCell ref="B23:C23"/>
    <mergeCell ref="B24:C24"/>
    <mergeCell ref="B25:C25"/>
    <mergeCell ref="B26:C26"/>
    <mergeCell ref="B27:C27"/>
    <mergeCell ref="B10:C10"/>
    <mergeCell ref="A11:A19"/>
    <mergeCell ref="B20:C20"/>
    <mergeCell ref="B21:C21"/>
    <mergeCell ref="B22:C22"/>
    <mergeCell ref="A3:C3"/>
    <mergeCell ref="A4:C4"/>
    <mergeCell ref="A5:C5"/>
    <mergeCell ref="A7:C7"/>
    <mergeCell ref="A9:C9"/>
  </mergeCells>
  <conditionalFormatting sqref="A79:A88">
    <cfRule type="cellIs" dxfId="183" priority="2" operator="equal">
      <formula>"Minor"</formula>
    </cfRule>
    <cfRule type="cellIs" dxfId="182" priority="3" operator="equal">
      <formula>"Not implemented"</formula>
    </cfRule>
    <cfRule type="cellIs" dxfId="181" priority="4" operator="equal">
      <formula>"Not tested"</formula>
    </cfRule>
    <cfRule type="cellIs" dxfId="180" priority="5" operator="equal">
      <formula>"Not available"</formula>
    </cfRule>
    <cfRule type="cellIs" dxfId="179" priority="6" operator="equal">
      <formula>"Critical"</formula>
    </cfRule>
    <cfRule type="cellIs" dxfId="178" priority="7" operator="equal">
      <formula>"Major"</formula>
    </cfRule>
    <cfRule type="cellIs" dxfId="177" priority="8" operator="equal">
      <formula>"Average"</formula>
    </cfRule>
    <cfRule type="cellIs" dxfId="176" priority="9" operator="equal">
      <formula>"OK"</formula>
    </cfRule>
    <cfRule type="cellIs" dxfId="175" priority="10" operator="equal">
      <formula>"Enhancement"</formula>
    </cfRule>
    <cfRule type="cellIs" dxfId="174" priority="11" operator="equal">
      <formula>"Partially tested"</formula>
    </cfRule>
  </conditionalFormatting>
  <pageMargins left="0.75" right="0.75" top="1" bottom="1"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9"/>
  <sheetViews>
    <sheetView zoomScale="130" zoomScaleNormal="130" workbookViewId="0">
      <pane xSplit="1" ySplit="3" topLeftCell="D4" activePane="bottomRight" state="frozen"/>
      <selection pane="topRight" activeCell="D1" sqref="D1"/>
      <selection pane="bottomLeft" activeCell="A4" sqref="A4"/>
      <selection pane="bottomRight" activeCell="A8" sqref="A8"/>
    </sheetView>
  </sheetViews>
  <sheetFormatPr defaultRowHeight="12.75" outlineLevelRow="1" x14ac:dyDescent="0.2"/>
  <cols>
    <col min="1" max="1" width="25.7109375" style="35" customWidth="1"/>
    <col min="2" max="11" width="16.7109375" style="35" customWidth="1"/>
    <col min="12" max="12" width="16.7109375" style="49" customWidth="1"/>
    <col min="13" max="14" width="16.7109375" style="35" customWidth="1"/>
    <col min="15" max="1025" width="9.140625" style="35" customWidth="1"/>
  </cols>
  <sheetData>
    <row r="1" spans="1:14" s="18" customFormat="1" ht="49.15" customHeight="1" x14ac:dyDescent="0.2">
      <c r="A1" s="16" t="s">
        <v>0</v>
      </c>
      <c r="B1" s="17"/>
      <c r="C1" s="17"/>
      <c r="D1" s="17"/>
      <c r="E1" s="17"/>
      <c r="F1" s="17"/>
      <c r="J1" s="19"/>
    </row>
    <row r="2" spans="1:14" s="52" customFormat="1" ht="12" customHeight="1" x14ac:dyDescent="0.2">
      <c r="A2" s="50" t="s">
        <v>5</v>
      </c>
      <c r="B2" s="51"/>
      <c r="C2" s="51"/>
      <c r="D2" s="51"/>
      <c r="E2" s="51"/>
      <c r="F2" s="51"/>
      <c r="G2" s="51"/>
      <c r="H2" s="51"/>
      <c r="I2" s="51"/>
      <c r="J2" s="51"/>
      <c r="N2" s="53" t="s">
        <v>124</v>
      </c>
    </row>
    <row r="3" spans="1:14" ht="12" customHeight="1" x14ac:dyDescent="0.2">
      <c r="A3" s="54" t="s">
        <v>125</v>
      </c>
      <c r="B3" s="55" t="s">
        <v>126</v>
      </c>
      <c r="C3" s="55" t="s">
        <v>127</v>
      </c>
      <c r="D3" s="55" t="s">
        <v>128</v>
      </c>
      <c r="E3" s="55" t="s">
        <v>129</v>
      </c>
      <c r="F3" s="55" t="s">
        <v>130</v>
      </c>
      <c r="G3" s="55" t="s">
        <v>131</v>
      </c>
      <c r="H3" s="55" t="s">
        <v>132</v>
      </c>
      <c r="I3" s="55" t="s">
        <v>133</v>
      </c>
      <c r="J3" s="55" t="s">
        <v>134</v>
      </c>
      <c r="N3" s="56">
        <v>3</v>
      </c>
    </row>
    <row r="4" spans="1:14" ht="12" customHeight="1" x14ac:dyDescent="0.2">
      <c r="A4" s="54" t="s">
        <v>8</v>
      </c>
      <c r="B4" s="55" t="s">
        <v>13</v>
      </c>
      <c r="C4" s="55" t="s">
        <v>17</v>
      </c>
      <c r="D4" s="55" t="s">
        <v>9</v>
      </c>
      <c r="E4" s="55" t="s">
        <v>19</v>
      </c>
      <c r="F4" s="55" t="s">
        <v>11</v>
      </c>
      <c r="G4" s="55" t="s">
        <v>15</v>
      </c>
      <c r="H4" s="55" t="s">
        <v>21</v>
      </c>
      <c r="I4" s="55" t="s">
        <v>21</v>
      </c>
      <c r="J4" s="55" t="s">
        <v>17</v>
      </c>
      <c r="N4" s="56">
        <v>3</v>
      </c>
    </row>
    <row r="5" spans="1:14" ht="12" customHeight="1" x14ac:dyDescent="0.2">
      <c r="A5" s="54" t="s">
        <v>24</v>
      </c>
      <c r="B5" s="57" t="s">
        <v>135</v>
      </c>
      <c r="C5" s="57">
        <v>41191</v>
      </c>
      <c r="D5" s="57">
        <v>41213</v>
      </c>
      <c r="E5" s="57">
        <v>41214</v>
      </c>
      <c r="F5" s="57">
        <v>41215</v>
      </c>
      <c r="G5" s="57">
        <v>41216</v>
      </c>
      <c r="H5" s="57">
        <v>41217</v>
      </c>
      <c r="I5" s="57">
        <v>41218</v>
      </c>
      <c r="J5" s="57">
        <v>41219</v>
      </c>
      <c r="N5" s="56">
        <v>3</v>
      </c>
    </row>
    <row r="6" spans="1:14" ht="12" customHeight="1" x14ac:dyDescent="0.2">
      <c r="A6" s="54" t="s">
        <v>26</v>
      </c>
      <c r="B6" s="57" t="s">
        <v>136</v>
      </c>
      <c r="C6" s="58" t="s">
        <v>137</v>
      </c>
      <c r="D6" s="58" t="s">
        <v>138</v>
      </c>
      <c r="E6" s="58" t="s">
        <v>136</v>
      </c>
      <c r="F6" s="58" t="s">
        <v>136</v>
      </c>
      <c r="G6" s="58" t="s">
        <v>136</v>
      </c>
      <c r="H6" s="58" t="s">
        <v>139</v>
      </c>
      <c r="I6" s="58" t="s">
        <v>136</v>
      </c>
      <c r="J6" s="58" t="s">
        <v>140</v>
      </c>
      <c r="N6" s="56"/>
    </row>
    <row r="7" spans="1:14" ht="12" customHeight="1" x14ac:dyDescent="0.2">
      <c r="A7" s="54" t="s">
        <v>28</v>
      </c>
      <c r="B7" s="57" t="s">
        <v>141</v>
      </c>
      <c r="C7" s="58" t="s">
        <v>141</v>
      </c>
      <c r="D7" s="58" t="s">
        <v>141</v>
      </c>
      <c r="E7" s="58" t="s">
        <v>141</v>
      </c>
      <c r="F7" s="58" t="s">
        <v>141</v>
      </c>
      <c r="G7" s="58" t="s">
        <v>141</v>
      </c>
      <c r="H7" s="58" t="s">
        <v>142</v>
      </c>
      <c r="I7" s="58" t="s">
        <v>141</v>
      </c>
      <c r="J7" s="58" t="s">
        <v>143</v>
      </c>
      <c r="N7" s="59"/>
    </row>
    <row r="8" spans="1:14" ht="12" customHeight="1" x14ac:dyDescent="0.2">
      <c r="A8" s="54" t="s">
        <v>30</v>
      </c>
      <c r="B8" s="55" t="s">
        <v>144</v>
      </c>
      <c r="C8" s="55" t="s">
        <v>144</v>
      </c>
      <c r="D8" s="55" t="s">
        <v>144</v>
      </c>
      <c r="E8" s="55" t="s">
        <v>144</v>
      </c>
      <c r="F8" s="55" t="s">
        <v>144</v>
      </c>
      <c r="G8" s="55" t="s">
        <v>144</v>
      </c>
      <c r="H8" s="55" t="s">
        <v>145</v>
      </c>
      <c r="I8" s="55" t="s">
        <v>146</v>
      </c>
      <c r="J8" s="55" t="s">
        <v>147</v>
      </c>
      <c r="N8" s="59"/>
    </row>
    <row r="9" spans="1:14" ht="12" customHeight="1" x14ac:dyDescent="0.2">
      <c r="A9" s="54" t="s">
        <v>148</v>
      </c>
      <c r="B9" s="55">
        <v>100</v>
      </c>
      <c r="C9" s="55">
        <v>100</v>
      </c>
      <c r="D9" s="55">
        <v>100</v>
      </c>
      <c r="E9" s="55">
        <v>100</v>
      </c>
      <c r="F9" s="55">
        <v>100</v>
      </c>
      <c r="G9" s="55">
        <v>300</v>
      </c>
      <c r="H9" s="55">
        <v>300</v>
      </c>
      <c r="I9" s="55">
        <v>300</v>
      </c>
      <c r="J9" s="55">
        <v>100</v>
      </c>
      <c r="N9" s="59"/>
    </row>
    <row r="10" spans="1:14" ht="12" customHeight="1" x14ac:dyDescent="0.2">
      <c r="A10" s="54" t="s">
        <v>34</v>
      </c>
      <c r="B10" s="60" t="s">
        <v>116</v>
      </c>
      <c r="C10" s="60" t="s">
        <v>112</v>
      </c>
      <c r="D10" s="60" t="s">
        <v>118</v>
      </c>
      <c r="E10" s="60" t="s">
        <v>110</v>
      </c>
      <c r="F10" s="60" t="s">
        <v>112</v>
      </c>
      <c r="G10" s="60" t="s">
        <v>116</v>
      </c>
      <c r="H10" s="60" t="s">
        <v>112</v>
      </c>
      <c r="I10" s="60" t="s">
        <v>108</v>
      </c>
      <c r="J10" s="60" t="s">
        <v>114</v>
      </c>
      <c r="N10" s="56">
        <v>3</v>
      </c>
    </row>
    <row r="11" spans="1:14" ht="12" customHeight="1" x14ac:dyDescent="0.2">
      <c r="A11" s="61" t="s">
        <v>36</v>
      </c>
      <c r="B11" s="62">
        <f t="shared" ref="B11:J11" si="0">ROUND(EXP(-1*(100*B51+20*B52+4*B53+2*B54+1*B55)/B9),3)</f>
        <v>6.8000000000000005E-2</v>
      </c>
      <c r="C11" s="62">
        <f t="shared" si="0"/>
        <v>0.92300000000000004</v>
      </c>
      <c r="D11" s="62">
        <f t="shared" si="0"/>
        <v>0.14399999999999999</v>
      </c>
      <c r="E11" s="62">
        <f t="shared" si="0"/>
        <v>0.20200000000000001</v>
      </c>
      <c r="F11" s="62">
        <f t="shared" si="0"/>
        <v>2.5999999999999999E-2</v>
      </c>
      <c r="G11" s="62">
        <f t="shared" si="0"/>
        <v>0.55200000000000005</v>
      </c>
      <c r="H11" s="62">
        <f t="shared" si="0"/>
        <v>0.64</v>
      </c>
      <c r="I11" s="62">
        <f t="shared" si="0"/>
        <v>0.76100000000000001</v>
      </c>
      <c r="J11" s="62">
        <f t="shared" si="0"/>
        <v>4.4999999999999998E-2</v>
      </c>
      <c r="N11" s="56">
        <v>3</v>
      </c>
    </row>
    <row r="12" spans="1:14" ht="12" customHeight="1" x14ac:dyDescent="0.2">
      <c r="A12" s="54" t="s">
        <v>38</v>
      </c>
      <c r="B12" s="63">
        <v>52</v>
      </c>
      <c r="C12" s="64" t="s">
        <v>149</v>
      </c>
      <c r="D12" s="63">
        <v>27</v>
      </c>
      <c r="E12" s="63">
        <v>19</v>
      </c>
      <c r="F12" s="63">
        <v>22</v>
      </c>
      <c r="G12" s="63">
        <v>16</v>
      </c>
      <c r="H12" s="63">
        <v>23</v>
      </c>
      <c r="I12" s="63">
        <v>13</v>
      </c>
      <c r="J12" s="63">
        <v>5</v>
      </c>
      <c r="N12" s="56">
        <v>3</v>
      </c>
    </row>
    <row r="13" spans="1:14" ht="12" customHeight="1" x14ac:dyDescent="0.2">
      <c r="A13" s="54" t="s">
        <v>40</v>
      </c>
      <c r="B13" s="55">
        <v>52</v>
      </c>
      <c r="C13" s="65" t="s">
        <v>149</v>
      </c>
      <c r="D13" s="55">
        <v>10</v>
      </c>
      <c r="E13" s="55">
        <v>11</v>
      </c>
      <c r="F13" s="55">
        <v>12</v>
      </c>
      <c r="G13" s="55">
        <v>13</v>
      </c>
      <c r="H13" s="55">
        <v>14</v>
      </c>
      <c r="I13" s="55">
        <v>15</v>
      </c>
      <c r="J13" s="55">
        <v>6</v>
      </c>
      <c r="N13" s="59"/>
    </row>
    <row r="14" spans="1:14" ht="12" customHeight="1" x14ac:dyDescent="0.2">
      <c r="A14" s="54" t="s">
        <v>42</v>
      </c>
      <c r="B14" s="66"/>
      <c r="C14" s="66"/>
      <c r="D14" s="66"/>
      <c r="E14" s="66"/>
      <c r="F14" s="66"/>
      <c r="G14" s="66"/>
      <c r="H14" s="66"/>
      <c r="I14" s="66"/>
      <c r="J14" s="66"/>
      <c r="N14" s="59"/>
    </row>
    <row r="15" spans="1:14" ht="12" customHeight="1" x14ac:dyDescent="0.2">
      <c r="A15" s="67"/>
      <c r="B15" s="68"/>
      <c r="C15" s="68"/>
      <c r="D15" s="68"/>
      <c r="E15" s="68"/>
      <c r="F15" s="68"/>
      <c r="G15" s="68"/>
      <c r="H15" s="68"/>
      <c r="I15" s="68"/>
      <c r="J15" s="68"/>
      <c r="N15" s="59"/>
    </row>
    <row r="16" spans="1:14" ht="12" customHeight="1" x14ac:dyDescent="0.2">
      <c r="A16" s="69" t="s">
        <v>150</v>
      </c>
      <c r="B16" s="70"/>
      <c r="C16" s="70"/>
      <c r="D16" s="70"/>
      <c r="E16" s="70"/>
      <c r="F16" s="70"/>
      <c r="G16" s="70"/>
      <c r="H16" s="70"/>
      <c r="I16" s="70"/>
      <c r="J16" s="71"/>
      <c r="N16" s="59"/>
    </row>
    <row r="17" spans="1:14" ht="12" customHeight="1" x14ac:dyDescent="0.2">
      <c r="A17" s="67"/>
      <c r="B17" s="68"/>
      <c r="C17" s="68"/>
      <c r="D17" s="68"/>
      <c r="E17" s="68"/>
      <c r="F17" s="68"/>
      <c r="G17" s="68"/>
      <c r="H17" s="68"/>
      <c r="I17" s="68"/>
      <c r="J17" s="68"/>
      <c r="N17" s="59"/>
    </row>
    <row r="18" spans="1:14" ht="12" customHeight="1" x14ac:dyDescent="0.2">
      <c r="A18" s="72" t="s">
        <v>151</v>
      </c>
      <c r="B18" s="51"/>
      <c r="C18" s="51"/>
      <c r="D18" s="51"/>
      <c r="E18" s="51"/>
      <c r="F18" s="51"/>
      <c r="G18" s="51"/>
      <c r="H18" s="51"/>
      <c r="I18" s="51"/>
      <c r="J18" s="51"/>
      <c r="N18" s="59"/>
    </row>
    <row r="19" spans="1:14" ht="12" hidden="1" customHeight="1" outlineLevel="1" x14ac:dyDescent="0.2">
      <c r="A19" s="54" t="s">
        <v>40</v>
      </c>
      <c r="B19" s="63">
        <v>46</v>
      </c>
      <c r="C19" s="64" t="s">
        <v>149</v>
      </c>
      <c r="D19" s="63">
        <v>10</v>
      </c>
      <c r="E19" s="63">
        <v>10</v>
      </c>
      <c r="F19" s="63">
        <v>10</v>
      </c>
      <c r="G19" s="63">
        <v>10</v>
      </c>
      <c r="H19" s="63">
        <v>10</v>
      </c>
      <c r="I19" s="63">
        <v>10</v>
      </c>
      <c r="J19" s="63">
        <v>10</v>
      </c>
      <c r="N19" s="59"/>
    </row>
    <row r="20" spans="1:14" ht="12" hidden="1" customHeight="1" outlineLevel="1" x14ac:dyDescent="0.2">
      <c r="A20" s="54" t="s">
        <v>46</v>
      </c>
      <c r="B20" s="55">
        <v>8</v>
      </c>
      <c r="C20" s="65" t="s">
        <v>149</v>
      </c>
      <c r="D20" s="55">
        <v>0</v>
      </c>
      <c r="E20" s="55">
        <v>0</v>
      </c>
      <c r="F20" s="55">
        <v>0</v>
      </c>
      <c r="G20" s="55">
        <v>0</v>
      </c>
      <c r="H20" s="55">
        <v>0</v>
      </c>
      <c r="I20" s="55">
        <v>0</v>
      </c>
      <c r="J20" s="55">
        <v>0</v>
      </c>
      <c r="N20" s="59"/>
    </row>
    <row r="21" spans="1:14" ht="12" hidden="1" customHeight="1" outlineLevel="1" x14ac:dyDescent="0.2">
      <c r="A21" s="54" t="s">
        <v>42</v>
      </c>
      <c r="B21" s="55"/>
      <c r="C21" s="55"/>
      <c r="D21" s="55"/>
      <c r="E21" s="55"/>
      <c r="F21" s="55"/>
      <c r="G21" s="55"/>
      <c r="H21" s="55"/>
      <c r="I21" s="55"/>
      <c r="J21" s="55"/>
      <c r="N21" s="59"/>
    </row>
    <row r="22" spans="1:14" ht="12" customHeight="1" collapsed="1" x14ac:dyDescent="0.2">
      <c r="A22" s="67"/>
      <c r="B22" s="68"/>
      <c r="C22" s="68"/>
      <c r="D22" s="68"/>
      <c r="E22" s="68"/>
      <c r="F22" s="68"/>
      <c r="G22" s="68"/>
      <c r="H22" s="68"/>
      <c r="I22" s="68"/>
      <c r="J22" s="68"/>
      <c r="N22" s="59"/>
    </row>
    <row r="23" spans="1:14" ht="12" customHeight="1" x14ac:dyDescent="0.2">
      <c r="A23" s="72" t="s">
        <v>152</v>
      </c>
      <c r="B23" s="51"/>
      <c r="C23" s="51"/>
      <c r="D23" s="51"/>
      <c r="E23" s="51"/>
      <c r="F23" s="51"/>
      <c r="G23" s="51"/>
      <c r="H23" s="51"/>
      <c r="I23" s="51"/>
      <c r="J23" s="51"/>
      <c r="N23" s="56">
        <v>3</v>
      </c>
    </row>
    <row r="24" spans="1:14" ht="12" customHeight="1" x14ac:dyDescent="0.2">
      <c r="A24" s="54" t="s">
        <v>49</v>
      </c>
      <c r="B24" s="55">
        <v>32</v>
      </c>
      <c r="C24" s="55">
        <v>5</v>
      </c>
      <c r="D24" s="55">
        <v>19</v>
      </c>
      <c r="E24" s="55">
        <v>11</v>
      </c>
      <c r="F24" s="55">
        <v>13</v>
      </c>
      <c r="G24" s="55">
        <v>8</v>
      </c>
      <c r="H24" s="55">
        <v>15</v>
      </c>
      <c r="I24" s="55">
        <v>5</v>
      </c>
      <c r="J24" s="55">
        <v>8</v>
      </c>
      <c r="N24" s="59"/>
    </row>
    <row r="25" spans="1:14" ht="12" customHeight="1" x14ac:dyDescent="0.2">
      <c r="A25" s="54" t="s">
        <v>51</v>
      </c>
      <c r="B25" s="55">
        <v>2</v>
      </c>
      <c r="C25" s="55">
        <v>0</v>
      </c>
      <c r="D25" s="55">
        <v>0</v>
      </c>
      <c r="E25" s="55">
        <v>0</v>
      </c>
      <c r="F25" s="55">
        <v>0</v>
      </c>
      <c r="G25" s="55">
        <v>0</v>
      </c>
      <c r="H25" s="55">
        <v>0</v>
      </c>
      <c r="I25" s="55">
        <v>0</v>
      </c>
      <c r="J25" s="55">
        <v>0</v>
      </c>
      <c r="N25" s="59"/>
    </row>
    <row r="26" spans="1:14" ht="12" customHeight="1" x14ac:dyDescent="0.2">
      <c r="A26" s="54" t="s">
        <v>53</v>
      </c>
      <c r="B26" s="55">
        <v>15</v>
      </c>
      <c r="C26" s="55">
        <v>0</v>
      </c>
      <c r="D26" s="55">
        <v>5</v>
      </c>
      <c r="E26" s="55">
        <v>5</v>
      </c>
      <c r="F26" s="55">
        <v>6</v>
      </c>
      <c r="G26" s="55">
        <v>5</v>
      </c>
      <c r="H26" s="55">
        <v>5</v>
      </c>
      <c r="I26" s="55">
        <v>5</v>
      </c>
      <c r="J26" s="55">
        <v>10</v>
      </c>
      <c r="N26" s="59"/>
    </row>
    <row r="27" spans="1:14" ht="12" customHeight="1" x14ac:dyDescent="0.2">
      <c r="A27" s="73" t="s">
        <v>55</v>
      </c>
      <c r="B27" s="55">
        <v>3</v>
      </c>
      <c r="C27" s="55">
        <v>3</v>
      </c>
      <c r="D27" s="55">
        <v>3</v>
      </c>
      <c r="E27" s="55">
        <v>3</v>
      </c>
      <c r="F27" s="55">
        <v>3</v>
      </c>
      <c r="G27" s="55">
        <v>3</v>
      </c>
      <c r="H27" s="55">
        <v>3</v>
      </c>
      <c r="I27" s="55">
        <v>3</v>
      </c>
      <c r="J27" s="55">
        <v>44</v>
      </c>
      <c r="N27" s="59"/>
    </row>
    <row r="28" spans="1:14" ht="12" customHeight="1" x14ac:dyDescent="0.2">
      <c r="A28" s="73" t="s">
        <v>57</v>
      </c>
      <c r="B28" s="55">
        <v>0</v>
      </c>
      <c r="C28" s="55">
        <v>0</v>
      </c>
      <c r="D28" s="55">
        <v>0</v>
      </c>
      <c r="E28" s="55">
        <v>0</v>
      </c>
      <c r="F28" s="55">
        <v>0</v>
      </c>
      <c r="G28" s="55">
        <v>0</v>
      </c>
      <c r="H28" s="55">
        <v>0</v>
      </c>
      <c r="I28" s="55">
        <v>0</v>
      </c>
      <c r="J28" s="55">
        <v>0</v>
      </c>
      <c r="N28" s="59"/>
    </row>
    <row r="29" spans="1:14" ht="12" customHeight="1" x14ac:dyDescent="0.2">
      <c r="A29" s="54" t="s">
        <v>59</v>
      </c>
      <c r="B29" s="63">
        <f t="shared" ref="B29:J29" si="1">SUM(B24:B28)</f>
        <v>52</v>
      </c>
      <c r="C29" s="63">
        <f t="shared" si="1"/>
        <v>8</v>
      </c>
      <c r="D29" s="63">
        <f t="shared" si="1"/>
        <v>27</v>
      </c>
      <c r="E29" s="63">
        <f t="shared" si="1"/>
        <v>19</v>
      </c>
      <c r="F29" s="63">
        <f t="shared" si="1"/>
        <v>22</v>
      </c>
      <c r="G29" s="63">
        <f t="shared" si="1"/>
        <v>16</v>
      </c>
      <c r="H29" s="63">
        <f t="shared" si="1"/>
        <v>23</v>
      </c>
      <c r="I29" s="63">
        <f t="shared" si="1"/>
        <v>13</v>
      </c>
      <c r="J29" s="63">
        <f t="shared" si="1"/>
        <v>62</v>
      </c>
      <c r="N29" s="59"/>
    </row>
    <row r="30" spans="1:14" ht="12" customHeight="1" x14ac:dyDescent="0.2">
      <c r="A30" s="54" t="s">
        <v>42</v>
      </c>
      <c r="B30" s="55"/>
      <c r="C30" s="55"/>
      <c r="D30" s="55"/>
      <c r="E30" s="55"/>
      <c r="F30" s="55"/>
      <c r="G30" s="55"/>
      <c r="H30" s="55"/>
      <c r="I30" s="55"/>
      <c r="J30" s="55"/>
      <c r="N30" s="59"/>
    </row>
    <row r="31" spans="1:14" ht="12" customHeight="1" x14ac:dyDescent="0.2">
      <c r="A31" s="67"/>
      <c r="B31" s="68"/>
      <c r="C31" s="68"/>
      <c r="D31" s="68"/>
      <c r="E31" s="68"/>
      <c r="F31" s="68"/>
      <c r="G31" s="68"/>
      <c r="H31" s="68"/>
      <c r="I31" s="68"/>
      <c r="J31" s="68"/>
      <c r="N31" s="59"/>
    </row>
    <row r="32" spans="1:14" ht="12" customHeight="1" x14ac:dyDescent="0.2">
      <c r="A32" s="72" t="s">
        <v>153</v>
      </c>
      <c r="B32" s="51"/>
      <c r="C32" s="51"/>
      <c r="D32" s="51"/>
      <c r="E32" s="51"/>
      <c r="F32" s="51"/>
      <c r="G32" s="51"/>
      <c r="H32" s="51"/>
      <c r="I32" s="51"/>
      <c r="J32" s="51"/>
      <c r="N32" s="56">
        <v>3</v>
      </c>
    </row>
    <row r="33" spans="1:14" ht="12" hidden="1" customHeight="1" outlineLevel="1" x14ac:dyDescent="0.2">
      <c r="A33" s="54" t="s">
        <v>62</v>
      </c>
      <c r="B33" s="64" t="s">
        <v>149</v>
      </c>
      <c r="C33" s="63">
        <v>49</v>
      </c>
      <c r="D33" s="64" t="s">
        <v>149</v>
      </c>
      <c r="E33" s="64" t="s">
        <v>149</v>
      </c>
      <c r="F33" s="64" t="s">
        <v>149</v>
      </c>
      <c r="G33" s="64" t="s">
        <v>149</v>
      </c>
      <c r="H33" s="64" t="s">
        <v>149</v>
      </c>
      <c r="I33" s="64" t="s">
        <v>149</v>
      </c>
      <c r="J33" s="64" t="s">
        <v>149</v>
      </c>
      <c r="N33" s="59"/>
    </row>
    <row r="34" spans="1:14" ht="12" hidden="1" customHeight="1" outlineLevel="1" x14ac:dyDescent="0.2">
      <c r="A34" s="54" t="s">
        <v>64</v>
      </c>
      <c r="B34" s="65" t="s">
        <v>149</v>
      </c>
      <c r="C34" s="55">
        <v>0</v>
      </c>
      <c r="D34" s="65" t="s">
        <v>149</v>
      </c>
      <c r="E34" s="65" t="s">
        <v>149</v>
      </c>
      <c r="F34" s="65" t="s">
        <v>149</v>
      </c>
      <c r="G34" s="65" t="s">
        <v>149</v>
      </c>
      <c r="H34" s="65" t="s">
        <v>149</v>
      </c>
      <c r="I34" s="65" t="s">
        <v>149</v>
      </c>
      <c r="J34" s="65" t="s">
        <v>149</v>
      </c>
      <c r="N34" s="59"/>
    </row>
    <row r="35" spans="1:14" ht="12" hidden="1" customHeight="1" outlineLevel="1" x14ac:dyDescent="0.2">
      <c r="A35" s="54" t="s">
        <v>66</v>
      </c>
      <c r="B35" s="65" t="s">
        <v>149</v>
      </c>
      <c r="C35" s="55">
        <v>0</v>
      </c>
      <c r="D35" s="65" t="s">
        <v>149</v>
      </c>
      <c r="E35" s="65" t="s">
        <v>149</v>
      </c>
      <c r="F35" s="65" t="s">
        <v>149</v>
      </c>
      <c r="G35" s="65" t="s">
        <v>149</v>
      </c>
      <c r="H35" s="65" t="s">
        <v>149</v>
      </c>
      <c r="I35" s="65" t="s">
        <v>149</v>
      </c>
      <c r="J35" s="65" t="s">
        <v>149</v>
      </c>
      <c r="N35" s="59"/>
    </row>
    <row r="36" spans="1:14" ht="12" hidden="1" customHeight="1" outlineLevel="1" x14ac:dyDescent="0.2">
      <c r="A36" s="54" t="s">
        <v>68</v>
      </c>
      <c r="B36" s="65" t="s">
        <v>149</v>
      </c>
      <c r="C36" s="55">
        <v>1</v>
      </c>
      <c r="D36" s="65" t="s">
        <v>149</v>
      </c>
      <c r="E36" s="65" t="s">
        <v>149</v>
      </c>
      <c r="F36" s="65" t="s">
        <v>149</v>
      </c>
      <c r="G36" s="65" t="s">
        <v>149</v>
      </c>
      <c r="H36" s="65" t="s">
        <v>149</v>
      </c>
      <c r="I36" s="65" t="s">
        <v>149</v>
      </c>
      <c r="J36" s="65" t="s">
        <v>149</v>
      </c>
      <c r="N36" s="59"/>
    </row>
    <row r="37" spans="1:14" ht="12" hidden="1" customHeight="1" outlineLevel="1" x14ac:dyDescent="0.2">
      <c r="A37" s="54" t="s">
        <v>70</v>
      </c>
      <c r="B37" s="65" t="s">
        <v>149</v>
      </c>
      <c r="C37" s="55">
        <v>3</v>
      </c>
      <c r="D37" s="65" t="s">
        <v>149</v>
      </c>
      <c r="E37" s="65" t="s">
        <v>149</v>
      </c>
      <c r="F37" s="65" t="s">
        <v>149</v>
      </c>
      <c r="G37" s="65" t="s">
        <v>149</v>
      </c>
      <c r="H37" s="65" t="s">
        <v>149</v>
      </c>
      <c r="I37" s="65" t="s">
        <v>149</v>
      </c>
      <c r="J37" s="65" t="s">
        <v>149</v>
      </c>
      <c r="N37" s="59"/>
    </row>
    <row r="38" spans="1:14" ht="12" hidden="1" customHeight="1" outlineLevel="1" x14ac:dyDescent="0.2">
      <c r="A38" s="54" t="s">
        <v>72</v>
      </c>
      <c r="B38" s="65" t="s">
        <v>149</v>
      </c>
      <c r="C38" s="55">
        <v>0</v>
      </c>
      <c r="D38" s="65" t="s">
        <v>149</v>
      </c>
      <c r="E38" s="65" t="s">
        <v>149</v>
      </c>
      <c r="F38" s="65" t="s">
        <v>149</v>
      </c>
      <c r="G38" s="65" t="s">
        <v>149</v>
      </c>
      <c r="H38" s="65" t="s">
        <v>149</v>
      </c>
      <c r="I38" s="65" t="s">
        <v>149</v>
      </c>
      <c r="J38" s="65" t="s">
        <v>149</v>
      </c>
      <c r="N38" s="59"/>
    </row>
    <row r="39" spans="1:14" ht="12" hidden="1" customHeight="1" outlineLevel="1" x14ac:dyDescent="0.2">
      <c r="A39" s="54" t="s">
        <v>74</v>
      </c>
      <c r="B39" s="64" t="s">
        <v>149</v>
      </c>
      <c r="C39" s="63">
        <v>1</v>
      </c>
      <c r="D39" s="64" t="s">
        <v>149</v>
      </c>
      <c r="E39" s="64" t="s">
        <v>149</v>
      </c>
      <c r="F39" s="64" t="s">
        <v>149</v>
      </c>
      <c r="G39" s="64" t="s">
        <v>149</v>
      </c>
      <c r="H39" s="64" t="s">
        <v>149</v>
      </c>
      <c r="I39" s="64" t="s">
        <v>149</v>
      </c>
      <c r="J39" s="64" t="s">
        <v>149</v>
      </c>
      <c r="N39" s="59"/>
    </row>
    <row r="40" spans="1:14" ht="12" hidden="1" customHeight="1" outlineLevel="1" x14ac:dyDescent="0.2">
      <c r="A40" s="54" t="s">
        <v>76</v>
      </c>
      <c r="B40" s="55"/>
      <c r="C40" s="74">
        <f>SUM(C34:C39)/(C33+C39)</f>
        <v>0.1</v>
      </c>
      <c r="D40" s="55"/>
      <c r="E40" s="55"/>
      <c r="F40" s="55"/>
      <c r="G40" s="55"/>
      <c r="H40" s="55"/>
      <c r="I40" s="55"/>
      <c r="J40" s="55"/>
      <c r="N40" s="59"/>
    </row>
    <row r="41" spans="1:14" ht="12" hidden="1" customHeight="1" outlineLevel="1" x14ac:dyDescent="0.2">
      <c r="A41" s="54" t="s">
        <v>42</v>
      </c>
      <c r="B41" s="55"/>
      <c r="C41" s="55"/>
      <c r="D41" s="55"/>
      <c r="E41" s="55"/>
      <c r="F41" s="55"/>
      <c r="G41" s="55"/>
      <c r="H41" s="55"/>
      <c r="I41" s="55"/>
      <c r="J41" s="55"/>
      <c r="N41" s="59"/>
    </row>
    <row r="42" spans="1:14" ht="12" customHeight="1" x14ac:dyDescent="0.2">
      <c r="A42" s="67"/>
      <c r="B42" s="68"/>
      <c r="C42" s="68"/>
      <c r="D42" s="68"/>
      <c r="E42" s="68"/>
      <c r="F42" s="68"/>
      <c r="G42" s="68"/>
      <c r="H42" s="68"/>
      <c r="I42" s="68"/>
      <c r="J42" s="68"/>
      <c r="N42" s="59"/>
    </row>
    <row r="43" spans="1:14" ht="12" customHeight="1" x14ac:dyDescent="0.2">
      <c r="A43" s="72" t="s">
        <v>154</v>
      </c>
      <c r="B43" s="51"/>
      <c r="C43" s="51"/>
      <c r="D43" s="51"/>
      <c r="E43" s="51"/>
      <c r="F43" s="51"/>
      <c r="G43" s="51"/>
      <c r="H43" s="51"/>
      <c r="I43" s="51"/>
      <c r="J43" s="51"/>
      <c r="N43" s="59"/>
    </row>
    <row r="44" spans="1:14" ht="12" hidden="1" customHeight="1" outlineLevel="1" x14ac:dyDescent="0.2">
      <c r="A44" s="54" t="s">
        <v>79</v>
      </c>
      <c r="B44" s="65" t="s">
        <v>149</v>
      </c>
      <c r="C44" s="63">
        <v>5</v>
      </c>
      <c r="D44" s="65" t="s">
        <v>149</v>
      </c>
      <c r="E44" s="63">
        <v>6</v>
      </c>
      <c r="F44" s="63">
        <v>6</v>
      </c>
      <c r="G44" s="65" t="s">
        <v>149</v>
      </c>
      <c r="H44" s="65" t="s">
        <v>149</v>
      </c>
      <c r="I44" s="65" t="s">
        <v>149</v>
      </c>
      <c r="J44" s="65" t="s">
        <v>149</v>
      </c>
      <c r="N44" s="59"/>
    </row>
    <row r="45" spans="1:14" ht="12" hidden="1" customHeight="1" outlineLevel="1" x14ac:dyDescent="0.2">
      <c r="A45" s="54" t="s">
        <v>81</v>
      </c>
      <c r="B45" s="65" t="s">
        <v>149</v>
      </c>
      <c r="C45" s="55">
        <v>1</v>
      </c>
      <c r="D45" s="65" t="s">
        <v>149</v>
      </c>
      <c r="E45" s="55">
        <v>0</v>
      </c>
      <c r="F45" s="55">
        <v>1</v>
      </c>
      <c r="G45" s="65" t="s">
        <v>149</v>
      </c>
      <c r="H45" s="65" t="s">
        <v>149</v>
      </c>
      <c r="I45" s="65" t="s">
        <v>149</v>
      </c>
      <c r="J45" s="65" t="s">
        <v>149</v>
      </c>
      <c r="N45" s="59"/>
    </row>
    <row r="46" spans="1:14" ht="12" hidden="1" customHeight="1" outlineLevel="1" x14ac:dyDescent="0.2">
      <c r="A46" s="54" t="s">
        <v>74</v>
      </c>
      <c r="B46" s="65" t="s">
        <v>149</v>
      </c>
      <c r="C46" s="63">
        <v>0</v>
      </c>
      <c r="D46" s="65" t="s">
        <v>149</v>
      </c>
      <c r="E46" s="63">
        <v>0</v>
      </c>
      <c r="F46" s="63">
        <v>0</v>
      </c>
      <c r="G46" s="65" t="s">
        <v>149</v>
      </c>
      <c r="H46" s="65" t="s">
        <v>149</v>
      </c>
      <c r="I46" s="65" t="s">
        <v>149</v>
      </c>
      <c r="J46" s="65" t="s">
        <v>149</v>
      </c>
      <c r="N46" s="59"/>
    </row>
    <row r="47" spans="1:14" ht="12" hidden="1" customHeight="1" outlineLevel="1" x14ac:dyDescent="0.2">
      <c r="A47" s="54" t="s">
        <v>76</v>
      </c>
      <c r="B47" s="64" t="s">
        <v>149</v>
      </c>
      <c r="C47" s="74">
        <f>C45/C44</f>
        <v>0.2</v>
      </c>
      <c r="D47" s="64" t="s">
        <v>149</v>
      </c>
      <c r="E47" s="74">
        <f>E45/E44</f>
        <v>0</v>
      </c>
      <c r="F47" s="74">
        <f>F45/F44</f>
        <v>0.16666666666666666</v>
      </c>
      <c r="G47" s="64" t="s">
        <v>149</v>
      </c>
      <c r="H47" s="64" t="s">
        <v>149</v>
      </c>
      <c r="I47" s="64" t="s">
        <v>149</v>
      </c>
      <c r="J47" s="64" t="s">
        <v>149</v>
      </c>
      <c r="N47" s="59"/>
    </row>
    <row r="48" spans="1:14" ht="12" hidden="1" customHeight="1" outlineLevel="1" x14ac:dyDescent="0.2">
      <c r="A48" s="54" t="s">
        <v>42</v>
      </c>
      <c r="B48" s="55"/>
      <c r="C48" s="55"/>
      <c r="D48" s="55"/>
      <c r="E48" s="55"/>
      <c r="F48" s="55"/>
      <c r="G48" s="55"/>
      <c r="H48" s="55"/>
      <c r="I48" s="55"/>
      <c r="J48" s="55"/>
      <c r="N48" s="59"/>
    </row>
    <row r="49" spans="1:14" ht="12" customHeight="1" x14ac:dyDescent="0.2">
      <c r="A49" s="67"/>
      <c r="B49" s="68"/>
      <c r="C49" s="68"/>
      <c r="D49" s="68"/>
      <c r="E49" s="68"/>
      <c r="F49" s="68"/>
      <c r="G49" s="68"/>
      <c r="H49" s="68"/>
      <c r="I49" s="68"/>
      <c r="J49" s="68"/>
      <c r="N49" s="59"/>
    </row>
    <row r="50" spans="1:14" ht="12" customHeight="1" x14ac:dyDescent="0.2">
      <c r="A50" s="72" t="s">
        <v>155</v>
      </c>
      <c r="B50" s="51"/>
      <c r="C50" s="51"/>
      <c r="D50" s="51"/>
      <c r="E50" s="51"/>
      <c r="F50" s="51"/>
      <c r="G50" s="51"/>
      <c r="H50" s="51"/>
      <c r="I50" s="51"/>
      <c r="J50" s="51"/>
      <c r="N50" s="56">
        <v>3</v>
      </c>
    </row>
    <row r="51" spans="1:14" ht="12" customHeight="1" x14ac:dyDescent="0.2">
      <c r="A51" s="54" t="s">
        <v>86</v>
      </c>
      <c r="B51" s="55">
        <v>1</v>
      </c>
      <c r="C51" s="55">
        <v>0</v>
      </c>
      <c r="D51" s="55">
        <v>0</v>
      </c>
      <c r="E51" s="55">
        <v>0</v>
      </c>
      <c r="F51" s="55">
        <v>2</v>
      </c>
      <c r="G51" s="55">
        <v>0</v>
      </c>
      <c r="H51" s="55">
        <v>0</v>
      </c>
      <c r="I51" s="55">
        <v>0</v>
      </c>
      <c r="J51" s="55">
        <v>2</v>
      </c>
      <c r="N51" s="59"/>
    </row>
    <row r="52" spans="1:14" ht="12" customHeight="1" x14ac:dyDescent="0.2">
      <c r="A52" s="54" t="s">
        <v>88</v>
      </c>
      <c r="B52" s="55">
        <v>2</v>
      </c>
      <c r="C52" s="55">
        <v>0</v>
      </c>
      <c r="D52" s="55">
        <v>8</v>
      </c>
      <c r="E52" s="55">
        <v>6</v>
      </c>
      <c r="F52" s="55">
        <v>7</v>
      </c>
      <c r="G52" s="55">
        <v>8</v>
      </c>
      <c r="H52" s="55">
        <v>5</v>
      </c>
      <c r="I52" s="55">
        <v>3</v>
      </c>
      <c r="J52" s="55">
        <v>1</v>
      </c>
      <c r="N52" s="59"/>
    </row>
    <row r="53" spans="1:14" ht="12" customHeight="1" x14ac:dyDescent="0.2">
      <c r="A53" s="54" t="s">
        <v>90</v>
      </c>
      <c r="B53" s="55">
        <v>18</v>
      </c>
      <c r="C53" s="55">
        <v>0</v>
      </c>
      <c r="D53" s="55">
        <v>2</v>
      </c>
      <c r="E53" s="55">
        <v>7</v>
      </c>
      <c r="F53" s="55">
        <v>2</v>
      </c>
      <c r="G53" s="55">
        <v>2</v>
      </c>
      <c r="H53" s="55">
        <v>3</v>
      </c>
      <c r="I53" s="55">
        <v>2</v>
      </c>
      <c r="J53" s="55">
        <v>5</v>
      </c>
      <c r="N53" s="59"/>
    </row>
    <row r="54" spans="1:14" ht="12" customHeight="1" x14ac:dyDescent="0.2">
      <c r="A54" s="54" t="s">
        <v>92</v>
      </c>
      <c r="B54" s="55">
        <v>26</v>
      </c>
      <c r="C54" s="55">
        <v>0</v>
      </c>
      <c r="D54" s="55">
        <v>9</v>
      </c>
      <c r="E54" s="55">
        <v>6</v>
      </c>
      <c r="F54" s="55">
        <v>7</v>
      </c>
      <c r="G54" s="55">
        <v>4</v>
      </c>
      <c r="H54" s="55">
        <v>7</v>
      </c>
      <c r="I54" s="55">
        <v>6</v>
      </c>
      <c r="J54" s="55">
        <v>15</v>
      </c>
      <c r="N54" s="59"/>
    </row>
    <row r="55" spans="1:14" ht="12" customHeight="1" x14ac:dyDescent="0.2">
      <c r="A55" s="54" t="s">
        <v>94</v>
      </c>
      <c r="B55" s="55">
        <v>5</v>
      </c>
      <c r="C55" s="55">
        <v>8</v>
      </c>
      <c r="D55" s="55">
        <v>8</v>
      </c>
      <c r="E55" s="55">
        <v>0</v>
      </c>
      <c r="F55" s="55">
        <v>4</v>
      </c>
      <c r="G55" s="55">
        <v>2</v>
      </c>
      <c r="H55" s="55">
        <v>8</v>
      </c>
      <c r="I55" s="55">
        <v>2</v>
      </c>
      <c r="J55" s="55">
        <v>40</v>
      </c>
      <c r="N55" s="59"/>
    </row>
    <row r="56" spans="1:14" ht="12" customHeight="1" x14ac:dyDescent="0.2">
      <c r="A56" s="54" t="s">
        <v>59</v>
      </c>
      <c r="B56" s="63">
        <f t="shared" ref="B56:J56" si="2">SUM(B51:B55)</f>
        <v>52</v>
      </c>
      <c r="C56" s="63">
        <f t="shared" si="2"/>
        <v>8</v>
      </c>
      <c r="D56" s="63">
        <f t="shared" si="2"/>
        <v>27</v>
      </c>
      <c r="E56" s="63">
        <f t="shared" si="2"/>
        <v>19</v>
      </c>
      <c r="F56" s="63">
        <f t="shared" si="2"/>
        <v>22</v>
      </c>
      <c r="G56" s="63">
        <f t="shared" si="2"/>
        <v>16</v>
      </c>
      <c r="H56" s="63">
        <f t="shared" si="2"/>
        <v>23</v>
      </c>
      <c r="I56" s="63">
        <f t="shared" si="2"/>
        <v>13</v>
      </c>
      <c r="J56" s="63">
        <f t="shared" si="2"/>
        <v>63</v>
      </c>
      <c r="N56" s="59"/>
    </row>
    <row r="57" spans="1:14" ht="12" customHeight="1" x14ac:dyDescent="0.2">
      <c r="A57" s="54" t="s">
        <v>42</v>
      </c>
      <c r="B57" s="55"/>
      <c r="C57" s="55"/>
      <c r="D57" s="55"/>
      <c r="E57" s="55"/>
      <c r="F57" s="55"/>
      <c r="G57" s="55"/>
      <c r="H57" s="55"/>
      <c r="I57" s="55"/>
      <c r="J57" s="55"/>
      <c r="N57" s="59"/>
    </row>
    <row r="58" spans="1:14" ht="12" customHeight="1" x14ac:dyDescent="0.2">
      <c r="A58" s="75"/>
      <c r="B58" s="75"/>
      <c r="C58" s="75"/>
      <c r="D58" s="75"/>
      <c r="E58" s="75"/>
      <c r="F58" s="75"/>
      <c r="G58" s="75"/>
      <c r="H58" s="75"/>
      <c r="I58" s="75"/>
      <c r="J58" s="75"/>
      <c r="N58" s="59"/>
    </row>
    <row r="59" spans="1:14" ht="12" customHeight="1" x14ac:dyDescent="0.2">
      <c r="A59" s="75"/>
      <c r="B59" s="75"/>
      <c r="C59" s="75"/>
      <c r="D59" s="75"/>
      <c r="E59" s="75"/>
      <c r="F59" s="75"/>
      <c r="G59" s="75"/>
      <c r="H59" s="75"/>
      <c r="I59" s="75"/>
      <c r="J59" s="75"/>
      <c r="N59" s="56">
        <v>3</v>
      </c>
    </row>
    <row r="60" spans="1:14" ht="12" customHeight="1" x14ac:dyDescent="0.2">
      <c r="A60" s="75"/>
      <c r="B60" s="75"/>
      <c r="C60" s="75"/>
      <c r="D60" s="75"/>
      <c r="E60" s="75"/>
      <c r="F60" s="75"/>
      <c r="G60" s="75"/>
      <c r="H60" s="75"/>
      <c r="I60" s="75"/>
      <c r="J60" s="75"/>
      <c r="N60" s="59"/>
    </row>
    <row r="61" spans="1:14" ht="12" customHeight="1" x14ac:dyDescent="0.2">
      <c r="A61" s="75"/>
      <c r="B61" s="75"/>
      <c r="C61" s="75"/>
      <c r="D61" s="75"/>
      <c r="E61" s="75"/>
      <c r="F61" s="75"/>
      <c r="G61" s="75"/>
      <c r="H61" s="75"/>
      <c r="I61" s="75"/>
      <c r="J61" s="75"/>
      <c r="N61" s="59"/>
    </row>
    <row r="62" spans="1:14" ht="12" customHeight="1" x14ac:dyDescent="0.2">
      <c r="A62" s="75"/>
      <c r="B62" s="75"/>
      <c r="C62" s="75"/>
      <c r="D62" s="75"/>
      <c r="E62" s="75"/>
      <c r="F62" s="75"/>
      <c r="G62" s="75"/>
      <c r="H62" s="75"/>
      <c r="I62" s="75"/>
      <c r="J62" s="75"/>
      <c r="N62" s="59"/>
    </row>
    <row r="63" spans="1:14" ht="12" customHeight="1" x14ac:dyDescent="0.2">
      <c r="A63" s="75"/>
      <c r="B63" s="75"/>
      <c r="C63" s="75"/>
      <c r="D63" s="75"/>
      <c r="E63" s="75"/>
      <c r="F63" s="75"/>
      <c r="G63" s="75"/>
      <c r="H63" s="75"/>
      <c r="I63" s="75"/>
      <c r="J63" s="75"/>
      <c r="N63" s="59"/>
    </row>
    <row r="64" spans="1:14" ht="12" customHeight="1" x14ac:dyDescent="0.2">
      <c r="A64" s="75"/>
      <c r="B64" s="75"/>
      <c r="C64" s="75"/>
      <c r="D64" s="75"/>
      <c r="E64" s="75"/>
      <c r="F64" s="75"/>
      <c r="G64" s="75"/>
      <c r="H64" s="75"/>
      <c r="I64" s="75"/>
      <c r="J64" s="75"/>
      <c r="N64" s="59"/>
    </row>
    <row r="65" spans="1:14" ht="12" customHeight="1" x14ac:dyDescent="0.2">
      <c r="A65" s="75"/>
      <c r="B65" s="75"/>
      <c r="C65" s="75"/>
      <c r="D65" s="75"/>
      <c r="E65" s="75"/>
      <c r="F65" s="75"/>
      <c r="G65" s="75"/>
      <c r="H65" s="75"/>
      <c r="I65" s="75"/>
      <c r="J65" s="75"/>
      <c r="N65" s="59"/>
    </row>
    <row r="66" spans="1:14" ht="12" customHeight="1" x14ac:dyDescent="0.2">
      <c r="A66" s="75"/>
      <c r="B66" s="75"/>
      <c r="C66" s="75"/>
      <c r="D66" s="75"/>
      <c r="E66" s="75"/>
      <c r="F66" s="75"/>
      <c r="G66" s="75"/>
      <c r="H66" s="75"/>
      <c r="I66" s="75"/>
      <c r="J66" s="75"/>
      <c r="N66" s="59"/>
    </row>
    <row r="67" spans="1:14" ht="12" customHeight="1" x14ac:dyDescent="0.2">
      <c r="A67" s="75"/>
      <c r="B67" s="75"/>
      <c r="C67" s="75"/>
      <c r="D67" s="75"/>
      <c r="E67" s="75"/>
      <c r="F67" s="75"/>
      <c r="G67" s="75"/>
      <c r="H67" s="75"/>
      <c r="I67" s="75"/>
      <c r="J67" s="75"/>
      <c r="N67" s="59"/>
    </row>
    <row r="68" spans="1:14" ht="12" customHeight="1" x14ac:dyDescent="0.2">
      <c r="A68" s="75"/>
      <c r="B68" s="75"/>
      <c r="C68" s="75"/>
      <c r="D68" s="75"/>
      <c r="E68" s="75"/>
      <c r="F68" s="75"/>
      <c r="G68" s="75"/>
      <c r="H68" s="75"/>
      <c r="I68" s="75"/>
      <c r="J68" s="75"/>
      <c r="N68" s="59"/>
    </row>
    <row r="69" spans="1:14" ht="12" customHeight="1" x14ac:dyDescent="0.2">
      <c r="A69" s="75"/>
      <c r="B69" s="75"/>
      <c r="C69" s="75"/>
      <c r="D69" s="75"/>
      <c r="E69" s="75"/>
      <c r="F69" s="75"/>
      <c r="G69" s="75"/>
      <c r="H69" s="75"/>
      <c r="I69" s="75"/>
      <c r="J69" s="75"/>
      <c r="N69" s="59"/>
    </row>
    <row r="70" spans="1:14" ht="12" customHeight="1" x14ac:dyDescent="0.2">
      <c r="A70" s="75"/>
      <c r="B70" s="75"/>
      <c r="C70" s="75"/>
      <c r="D70" s="75"/>
      <c r="E70" s="75"/>
      <c r="F70" s="75"/>
      <c r="G70" s="75"/>
      <c r="H70" s="75"/>
      <c r="I70" s="75"/>
      <c r="J70" s="75"/>
      <c r="N70" s="59"/>
    </row>
    <row r="71" spans="1:14" ht="12" customHeight="1" x14ac:dyDescent="0.2">
      <c r="A71" s="75"/>
      <c r="B71" s="75"/>
      <c r="C71" s="75"/>
      <c r="D71" s="75"/>
      <c r="E71" s="75"/>
      <c r="F71" s="75"/>
      <c r="G71" s="75"/>
      <c r="H71" s="75"/>
      <c r="I71" s="75"/>
      <c r="J71" s="75"/>
      <c r="N71" s="59"/>
    </row>
    <row r="72" spans="1:14" ht="12" customHeight="1" x14ac:dyDescent="0.2">
      <c r="A72" s="75"/>
      <c r="B72" s="75"/>
      <c r="C72" s="75"/>
      <c r="D72" s="75"/>
      <c r="E72" s="75"/>
      <c r="F72" s="75"/>
      <c r="G72" s="75"/>
      <c r="H72" s="75"/>
      <c r="I72" s="75"/>
      <c r="J72" s="75"/>
      <c r="N72" s="59"/>
    </row>
    <row r="73" spans="1:14" ht="12" customHeight="1" x14ac:dyDescent="0.2">
      <c r="A73" s="75"/>
      <c r="B73" s="75"/>
      <c r="C73" s="75"/>
      <c r="D73" s="75"/>
      <c r="E73" s="75"/>
      <c r="F73" s="75"/>
      <c r="G73" s="75"/>
      <c r="H73" s="75"/>
      <c r="I73" s="75"/>
      <c r="J73" s="75"/>
      <c r="N73" s="59"/>
    </row>
    <row r="74" spans="1:14" ht="12" customHeight="1" x14ac:dyDescent="0.2">
      <c r="A74" s="75"/>
      <c r="B74" s="75"/>
      <c r="C74" s="75"/>
      <c r="D74" s="75"/>
      <c r="E74" s="75"/>
      <c r="F74" s="75"/>
      <c r="G74" s="75"/>
      <c r="H74" s="75"/>
      <c r="I74" s="75"/>
      <c r="J74" s="75"/>
      <c r="N74" s="56">
        <v>3</v>
      </c>
    </row>
    <row r="75" spans="1:14" ht="12" customHeight="1" x14ac:dyDescent="0.2">
      <c r="A75" s="75"/>
      <c r="B75" s="75"/>
      <c r="C75" s="75"/>
      <c r="D75" s="75"/>
      <c r="E75" s="75"/>
      <c r="F75" s="75"/>
      <c r="G75" s="75"/>
      <c r="H75" s="75"/>
      <c r="I75" s="75"/>
      <c r="J75" s="75"/>
      <c r="N75" s="59"/>
    </row>
    <row r="76" spans="1:14" ht="12" customHeight="1" x14ac:dyDescent="0.2">
      <c r="A76" s="75"/>
      <c r="B76" s="75"/>
      <c r="C76" s="75"/>
      <c r="D76" s="75"/>
      <c r="E76" s="75"/>
      <c r="F76" s="75"/>
      <c r="G76" s="75"/>
      <c r="H76" s="75"/>
      <c r="I76" s="75"/>
      <c r="J76" s="75"/>
      <c r="N76" s="59"/>
    </row>
    <row r="77" spans="1:14" ht="12" customHeight="1" x14ac:dyDescent="0.2">
      <c r="A77" s="75"/>
      <c r="B77" s="75"/>
      <c r="C77" s="75"/>
      <c r="D77" s="75"/>
      <c r="E77" s="75"/>
      <c r="F77" s="75"/>
      <c r="G77" s="75"/>
      <c r="H77" s="75"/>
      <c r="I77" s="75"/>
      <c r="J77" s="75"/>
      <c r="N77" s="59"/>
    </row>
    <row r="78" spans="1:14" ht="12" customHeight="1" x14ac:dyDescent="0.2">
      <c r="A78" s="75"/>
      <c r="B78" s="75"/>
      <c r="C78" s="75"/>
      <c r="D78" s="75"/>
      <c r="E78" s="75"/>
      <c r="F78" s="75"/>
      <c r="G78" s="75"/>
      <c r="H78" s="75"/>
      <c r="I78" s="75"/>
      <c r="J78" s="75"/>
      <c r="N78" s="59"/>
    </row>
    <row r="79" spans="1:14" ht="12" customHeight="1" x14ac:dyDescent="0.2">
      <c r="A79" s="75"/>
      <c r="B79" s="75"/>
      <c r="C79" s="75"/>
      <c r="D79" s="75"/>
      <c r="E79" s="75"/>
      <c r="F79" s="75"/>
      <c r="G79" s="75"/>
      <c r="H79" s="75"/>
      <c r="I79" s="75"/>
      <c r="J79" s="75"/>
      <c r="N79" s="59"/>
    </row>
    <row r="80" spans="1:14" ht="12" customHeight="1" x14ac:dyDescent="0.2">
      <c r="A80" s="75"/>
      <c r="B80" s="75"/>
      <c r="C80" s="75"/>
      <c r="D80" s="75"/>
      <c r="E80" s="75"/>
      <c r="F80" s="75"/>
      <c r="G80" s="75"/>
      <c r="H80" s="75"/>
      <c r="I80" s="75"/>
      <c r="J80" s="75"/>
      <c r="N80" s="59"/>
    </row>
    <row r="81" spans="1:14" ht="12" customHeight="1" x14ac:dyDescent="0.2">
      <c r="A81" s="75"/>
      <c r="B81" s="75"/>
      <c r="C81" s="75"/>
      <c r="D81" s="75"/>
      <c r="E81" s="75"/>
      <c r="F81" s="75"/>
      <c r="G81" s="75"/>
      <c r="H81" s="75"/>
      <c r="I81" s="75"/>
      <c r="J81" s="75"/>
      <c r="N81" s="59"/>
    </row>
    <row r="82" spans="1:14" ht="12" customHeight="1" x14ac:dyDescent="0.2">
      <c r="A82" s="75"/>
      <c r="B82" s="75"/>
      <c r="C82" s="75"/>
      <c r="D82" s="75"/>
      <c r="E82" s="75"/>
      <c r="F82" s="75"/>
      <c r="G82" s="75"/>
      <c r="H82" s="75"/>
      <c r="I82" s="75"/>
      <c r="J82" s="75"/>
      <c r="N82" s="59"/>
    </row>
    <row r="83" spans="1:14" ht="12" customHeight="1" x14ac:dyDescent="0.2">
      <c r="A83" s="75"/>
      <c r="B83" s="75"/>
      <c r="C83" s="75"/>
      <c r="D83" s="75"/>
      <c r="E83" s="75"/>
      <c r="F83" s="75"/>
      <c r="G83" s="75"/>
      <c r="H83" s="75"/>
      <c r="I83" s="75"/>
      <c r="J83" s="75"/>
      <c r="N83" s="59"/>
    </row>
    <row r="84" spans="1:14" ht="12" customHeight="1" x14ac:dyDescent="0.2">
      <c r="A84" s="75"/>
      <c r="B84" s="75"/>
      <c r="C84" s="75"/>
      <c r="D84" s="75"/>
      <c r="E84" s="75"/>
      <c r="F84" s="75"/>
      <c r="G84" s="75"/>
      <c r="H84" s="75"/>
      <c r="I84" s="75"/>
      <c r="J84" s="75"/>
      <c r="N84" s="59"/>
    </row>
    <row r="85" spans="1:14" ht="12" customHeight="1" x14ac:dyDescent="0.2">
      <c r="A85" s="75"/>
      <c r="B85" s="75"/>
      <c r="C85" s="75"/>
      <c r="D85" s="75"/>
      <c r="E85" s="75"/>
      <c r="F85" s="75"/>
      <c r="G85" s="75"/>
      <c r="H85" s="75"/>
      <c r="I85" s="75"/>
      <c r="J85" s="75"/>
      <c r="N85" s="59"/>
    </row>
    <row r="86" spans="1:14" ht="12" customHeight="1" x14ac:dyDescent="0.2">
      <c r="A86" s="75"/>
      <c r="B86" s="75"/>
      <c r="C86" s="75"/>
      <c r="D86" s="75"/>
      <c r="E86" s="75"/>
      <c r="F86" s="75"/>
      <c r="G86" s="75"/>
      <c r="H86" s="75"/>
      <c r="I86" s="75"/>
      <c r="J86" s="75"/>
      <c r="N86" s="59"/>
    </row>
    <row r="87" spans="1:14" ht="12" customHeight="1" x14ac:dyDescent="0.2">
      <c r="A87" s="75"/>
      <c r="B87" s="75"/>
      <c r="C87" s="75"/>
      <c r="D87" s="75"/>
      <c r="E87" s="75"/>
      <c r="F87" s="75"/>
      <c r="G87" s="75"/>
      <c r="H87" s="75"/>
      <c r="I87" s="75"/>
      <c r="J87" s="75"/>
      <c r="N87" s="59"/>
    </row>
    <row r="88" spans="1:14" ht="12" customHeight="1" x14ac:dyDescent="0.2">
      <c r="A88" s="75"/>
      <c r="B88" s="75"/>
      <c r="C88" s="75"/>
      <c r="D88" s="75"/>
      <c r="E88" s="75"/>
      <c r="F88" s="75"/>
      <c r="G88" s="75"/>
      <c r="H88" s="75"/>
      <c r="I88" s="75"/>
      <c r="J88" s="75"/>
      <c r="N88" s="59"/>
    </row>
    <row r="89" spans="1:14" ht="12" customHeight="1" x14ac:dyDescent="0.2">
      <c r="A89" s="75"/>
      <c r="B89" s="75"/>
      <c r="C89" s="75"/>
      <c r="D89" s="75"/>
      <c r="E89" s="75"/>
      <c r="F89" s="75"/>
      <c r="G89" s="75"/>
      <c r="H89" s="75"/>
      <c r="I89" s="75"/>
      <c r="J89" s="75"/>
      <c r="N89" s="59"/>
    </row>
    <row r="90" spans="1:14" ht="12" customHeight="1" x14ac:dyDescent="0.2">
      <c r="A90" s="75"/>
      <c r="B90" s="75"/>
      <c r="C90" s="75"/>
      <c r="D90" s="75"/>
      <c r="E90" s="75"/>
      <c r="F90" s="75"/>
      <c r="G90" s="75"/>
      <c r="H90" s="75"/>
      <c r="I90" s="75"/>
      <c r="J90" s="75"/>
      <c r="N90" s="59"/>
    </row>
    <row r="91" spans="1:14" ht="12" customHeight="1" x14ac:dyDescent="0.2">
      <c r="A91" s="75"/>
      <c r="B91" s="75"/>
      <c r="C91" s="75"/>
      <c r="D91" s="75"/>
      <c r="E91" s="75"/>
      <c r="F91" s="75"/>
      <c r="G91" s="75"/>
      <c r="H91" s="75"/>
      <c r="I91" s="75"/>
      <c r="J91" s="75"/>
      <c r="N91" s="59"/>
    </row>
    <row r="92" spans="1:14" ht="12" customHeight="1" outlineLevel="1" x14ac:dyDescent="0.2">
      <c r="A92" s="75"/>
      <c r="B92" s="75"/>
      <c r="C92" s="75"/>
      <c r="D92" s="75"/>
      <c r="E92" s="75"/>
      <c r="F92" s="75"/>
      <c r="G92" s="75"/>
      <c r="H92" s="75"/>
      <c r="I92" s="75"/>
      <c r="J92" s="75"/>
      <c r="N92" s="59"/>
    </row>
    <row r="93" spans="1:14" ht="12" customHeight="1" outlineLevel="1" x14ac:dyDescent="0.2">
      <c r="A93" s="75"/>
      <c r="B93" s="75"/>
      <c r="C93" s="75"/>
      <c r="D93" s="75"/>
      <c r="E93" s="75"/>
      <c r="F93" s="75"/>
      <c r="G93" s="75"/>
      <c r="H93" s="75"/>
      <c r="I93" s="75"/>
      <c r="J93" s="75"/>
    </row>
    <row r="94" spans="1:14" ht="12" customHeight="1" outlineLevel="1" x14ac:dyDescent="0.2">
      <c r="A94" s="75"/>
      <c r="B94" s="75"/>
      <c r="C94" s="75"/>
      <c r="D94" s="75"/>
      <c r="E94" s="75"/>
      <c r="F94" s="75"/>
      <c r="G94" s="75"/>
      <c r="H94" s="75"/>
      <c r="I94" s="75"/>
      <c r="J94" s="75"/>
    </row>
    <row r="95" spans="1:14" ht="12" customHeight="1" outlineLevel="1" x14ac:dyDescent="0.2">
      <c r="A95" s="75"/>
      <c r="B95" s="75"/>
      <c r="C95" s="75"/>
      <c r="D95" s="75"/>
      <c r="E95" s="75"/>
      <c r="F95" s="75"/>
      <c r="G95" s="75"/>
      <c r="H95" s="75"/>
      <c r="I95" s="75"/>
      <c r="J95" s="75"/>
    </row>
    <row r="96" spans="1:14" ht="12" customHeight="1" outlineLevel="1" x14ac:dyDescent="0.2">
      <c r="A96" s="75"/>
      <c r="B96" s="75"/>
      <c r="C96" s="75"/>
      <c r="D96" s="75"/>
      <c r="E96" s="75"/>
      <c r="F96" s="75"/>
      <c r="G96" s="75"/>
      <c r="H96" s="75"/>
      <c r="I96" s="75"/>
      <c r="J96" s="75"/>
    </row>
    <row r="97" spans="1:10" ht="12" customHeight="1" outlineLevel="1" x14ac:dyDescent="0.2">
      <c r="A97" s="75"/>
      <c r="B97" s="75"/>
      <c r="C97" s="75"/>
      <c r="D97" s="75"/>
      <c r="E97" s="75"/>
      <c r="F97" s="75"/>
      <c r="G97" s="75"/>
      <c r="H97" s="75"/>
      <c r="I97" s="75"/>
      <c r="J97" s="75"/>
    </row>
    <row r="98" spans="1:10" ht="12" customHeight="1" outlineLevel="1" x14ac:dyDescent="0.2">
      <c r="A98" s="75"/>
      <c r="B98" s="75"/>
      <c r="C98" s="75"/>
      <c r="D98" s="75"/>
      <c r="E98" s="75"/>
      <c r="F98" s="75"/>
      <c r="G98" s="75"/>
      <c r="H98" s="75"/>
      <c r="I98" s="75"/>
      <c r="J98" s="75"/>
    </row>
    <row r="99" spans="1:10" ht="12" customHeight="1" outlineLevel="1" x14ac:dyDescent="0.2">
      <c r="A99" s="75"/>
      <c r="B99" s="75"/>
      <c r="C99" s="75"/>
      <c r="D99" s="75"/>
      <c r="E99" s="75"/>
      <c r="F99" s="75"/>
      <c r="G99" s="75"/>
      <c r="H99" s="75"/>
      <c r="I99" s="75"/>
      <c r="J99" s="75"/>
    </row>
    <row r="100" spans="1:10" ht="12" customHeight="1" outlineLevel="1" x14ac:dyDescent="0.2">
      <c r="A100" s="75"/>
      <c r="B100" s="75"/>
      <c r="C100" s="75"/>
      <c r="D100" s="75"/>
      <c r="E100" s="75"/>
      <c r="F100" s="75"/>
      <c r="G100" s="75"/>
      <c r="H100" s="75"/>
      <c r="I100" s="75"/>
      <c r="J100" s="75"/>
    </row>
    <row r="101" spans="1:10" ht="12" customHeight="1" outlineLevel="1" x14ac:dyDescent="0.2">
      <c r="A101" s="75"/>
      <c r="B101" s="75"/>
      <c r="C101" s="75"/>
      <c r="D101" s="75"/>
      <c r="E101" s="75"/>
      <c r="F101" s="75"/>
      <c r="G101" s="75"/>
      <c r="H101" s="75"/>
      <c r="I101" s="75"/>
      <c r="J101" s="75"/>
    </row>
    <row r="102" spans="1:10" ht="12" customHeight="1" outlineLevel="1" x14ac:dyDescent="0.2">
      <c r="A102" s="75"/>
      <c r="B102" s="75"/>
      <c r="C102" s="75"/>
      <c r="D102" s="75"/>
      <c r="E102" s="75"/>
      <c r="F102" s="75"/>
      <c r="G102" s="75"/>
      <c r="H102" s="75"/>
      <c r="I102" s="75"/>
      <c r="J102" s="75"/>
    </row>
    <row r="103" spans="1:10" ht="12" customHeight="1" outlineLevel="1" x14ac:dyDescent="0.2">
      <c r="A103" s="75"/>
      <c r="B103" s="75"/>
      <c r="C103" s="75"/>
      <c r="D103" s="75"/>
      <c r="E103" s="75"/>
      <c r="F103" s="75"/>
      <c r="G103" s="75"/>
      <c r="H103" s="75"/>
      <c r="I103" s="75"/>
      <c r="J103" s="75"/>
    </row>
    <row r="104" spans="1:10" ht="12" customHeight="1" outlineLevel="1" x14ac:dyDescent="0.2">
      <c r="A104" s="75"/>
      <c r="B104" s="75"/>
      <c r="C104" s="75"/>
      <c r="D104" s="75"/>
      <c r="E104" s="75"/>
      <c r="F104" s="75"/>
      <c r="G104" s="75"/>
      <c r="H104" s="75"/>
      <c r="I104" s="75"/>
      <c r="J104" s="75"/>
    </row>
    <row r="105" spans="1:10" ht="12" customHeight="1" outlineLevel="1" x14ac:dyDescent="0.2">
      <c r="A105" s="75"/>
      <c r="B105" s="75"/>
      <c r="C105" s="75"/>
      <c r="D105" s="75"/>
      <c r="E105" s="75"/>
      <c r="F105" s="75"/>
      <c r="G105" s="75"/>
      <c r="H105" s="75"/>
      <c r="I105" s="75"/>
      <c r="J105" s="75"/>
    </row>
    <row r="106" spans="1:10" ht="12" customHeight="1" outlineLevel="1" x14ac:dyDescent="0.2">
      <c r="A106" s="75"/>
      <c r="B106" s="75"/>
      <c r="C106" s="75"/>
      <c r="D106" s="75"/>
      <c r="E106" s="75"/>
      <c r="F106" s="75"/>
      <c r="G106" s="75"/>
      <c r="H106" s="75"/>
      <c r="I106" s="75"/>
      <c r="J106" s="75"/>
    </row>
    <row r="107" spans="1:10" ht="12" customHeight="1" outlineLevel="1" x14ac:dyDescent="0.2">
      <c r="A107" s="75"/>
      <c r="B107" s="75"/>
      <c r="C107" s="75"/>
      <c r="D107" s="75"/>
      <c r="E107" s="75"/>
      <c r="F107" s="75"/>
      <c r="G107" s="75"/>
      <c r="H107" s="75"/>
      <c r="I107" s="75"/>
      <c r="J107" s="75"/>
    </row>
    <row r="108" spans="1:10" ht="12" customHeight="1" outlineLevel="1" x14ac:dyDescent="0.2">
      <c r="A108" s="75"/>
      <c r="B108" s="75"/>
      <c r="C108" s="75"/>
      <c r="D108" s="75"/>
      <c r="E108" s="75"/>
      <c r="F108" s="75"/>
      <c r="G108" s="75"/>
      <c r="H108" s="75"/>
      <c r="I108" s="75"/>
      <c r="J108" s="75"/>
    </row>
    <row r="109" spans="1:10" ht="12" customHeight="1" outlineLevel="1" x14ac:dyDescent="0.2">
      <c r="A109" s="75"/>
      <c r="B109" s="75"/>
      <c r="C109" s="75"/>
      <c r="D109" s="75"/>
      <c r="E109" s="75"/>
      <c r="F109" s="75"/>
      <c r="G109" s="75"/>
      <c r="H109" s="75"/>
      <c r="I109" s="75"/>
      <c r="J109" s="75"/>
    </row>
  </sheetData>
  <conditionalFormatting sqref="N3:N9 N11:N74">
    <cfRule type="iconSet" priority="2">
      <iconSet iconSet="3Symbols2" showValue="0">
        <cfvo type="percent" val="0"/>
        <cfvo type="num" val="2"/>
        <cfvo type="num" val="3"/>
      </iconSet>
    </cfRule>
  </conditionalFormatting>
  <conditionalFormatting sqref="N10">
    <cfRule type="iconSet" priority="3">
      <iconSet iconSet="3Symbols2" showValue="0">
        <cfvo type="percent" val="0"/>
        <cfvo type="num" val="2"/>
        <cfvo type="num" val="3"/>
      </iconSet>
    </cfRule>
  </conditionalFormatting>
  <conditionalFormatting sqref="A10:M10">
    <cfRule type="cellIs" dxfId="173" priority="4" operator="equal">
      <formula>"Acceptable"</formula>
    </cfRule>
    <cfRule type="cellIs" dxfId="172" priority="5" operator="equal">
      <formula>"Not Acceptable"</formula>
    </cfRule>
    <cfRule type="cellIs" dxfId="171" priority="6" operator="equal">
      <formula>"Low"</formula>
    </cfRule>
    <cfRule type="cellIs" dxfId="170" priority="7" operator="equal">
      <formula>"Below Medium"</formula>
    </cfRule>
    <cfRule type="cellIs" dxfId="169" priority="8" operator="equal">
      <formula>"Medium"</formula>
    </cfRule>
    <cfRule type="cellIs" dxfId="168" priority="9" operator="equal">
      <formula>"Above Medium"</formula>
    </cfRule>
    <cfRule type="cellIs" dxfId="167" priority="10" operator="equal">
      <formula>"High"</formula>
    </cfRule>
  </conditionalFormatting>
  <dataValidations count="5">
    <dataValidation type="list" allowBlank="1" showInputMessage="1" showErrorMessage="1" sqref="B8:J8" xr:uid="{00000000-0002-0000-0100-000000000000}">
      <formula1>Browser_list</formula1>
      <formula2>0</formula2>
    </dataValidation>
    <dataValidation type="list" allowBlank="1" showInputMessage="1" showErrorMessage="1" sqref="B4:J4" xr:uid="{00000000-0002-0000-0100-000001000000}">
      <formula1>Test_types</formula1>
      <formula2>0</formula2>
    </dataValidation>
    <dataValidation type="list" allowBlank="1" showInputMessage="1" showErrorMessage="1" sqref="B10:J10" xr:uid="{00000000-0002-0000-0100-000002000000}">
      <formula1>Quality_range</formula1>
      <formula2>0</formula2>
    </dataValidation>
    <dataValidation type="list" allowBlank="1" showInputMessage="1" showErrorMessage="1" sqref="B7:J7" xr:uid="{00000000-0002-0000-0100-000003000000}">
      <formula1>Environment_OS</formula1>
      <formula2>0</formula2>
    </dataValidation>
    <dataValidation type="list" allowBlank="1" showInputMessage="1" showErrorMessage="1" sqref="B6:J6" xr:uid="{00000000-0002-0000-0100-000004000000}">
      <formula1>Test_Team</formula1>
      <formula2>0</formula2>
    </dataValidation>
  </dataValidations>
  <pageMargins left="0.7" right="0.7" top="0.75" bottom="0.75" header="0.51180555555555496" footer="0.51180555555555496"/>
  <pageSetup paperSize="9" firstPageNumber="0"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
  <sheetViews>
    <sheetView tabSelected="1" zoomScale="85" zoomScaleNormal="85" workbookViewId="0">
      <pane xSplit="4" ySplit="21" topLeftCell="E22" activePane="bottomRight" state="frozen"/>
      <selection pane="topRight" activeCell="F1" sqref="F1"/>
      <selection pane="bottomLeft" activeCell="A22" sqref="A22"/>
      <selection pane="bottomRight" activeCell="E18" sqref="E18:F18"/>
    </sheetView>
  </sheetViews>
  <sheetFormatPr defaultRowHeight="12.75" outlineLevelRow="1" outlineLevelCol="1" x14ac:dyDescent="0.2"/>
  <cols>
    <col min="1" max="1" width="17.7109375" style="49" customWidth="1" outlineLevel="1"/>
    <col min="2" max="2" width="24.7109375" style="49" customWidth="1"/>
    <col min="3" max="3" width="70.140625" style="76" customWidth="1"/>
    <col min="4" max="4" width="47.140625" style="49" customWidth="1"/>
    <col min="5" max="5" width="16.7109375" style="49" customWidth="1"/>
    <col min="6" max="7" width="16.7109375" style="49" customWidth="1" outlineLevel="1"/>
    <col min="8" max="8" width="23.85546875" style="49" customWidth="1" outlineLevel="1"/>
    <col min="9" max="9" width="9.140625" style="49" customWidth="1"/>
    <col min="10" max="1023" width="9.140625" style="35" customWidth="1"/>
    <col min="1024" max="1025" width="9.140625" customWidth="1"/>
  </cols>
  <sheetData>
    <row r="1" spans="1:8" ht="12" hidden="1" customHeight="1" x14ac:dyDescent="0.2">
      <c r="A1" s="11" t="s">
        <v>156</v>
      </c>
      <c r="B1" s="11"/>
      <c r="C1" s="11" t="s">
        <v>157</v>
      </c>
      <c r="D1" s="24" t="s">
        <v>125</v>
      </c>
      <c r="E1" s="6" t="s">
        <v>158</v>
      </c>
      <c r="F1" s="6"/>
      <c r="G1" s="6"/>
      <c r="H1" s="6"/>
    </row>
    <row r="2" spans="1:8" ht="12" hidden="1" customHeight="1" x14ac:dyDescent="0.2">
      <c r="A2" s="11"/>
      <c r="B2" s="11"/>
      <c r="C2" s="11"/>
      <c r="D2" s="24" t="s">
        <v>8</v>
      </c>
      <c r="E2" s="6" t="s">
        <v>13</v>
      </c>
      <c r="F2" s="6"/>
      <c r="G2" s="6"/>
      <c r="H2" s="6"/>
    </row>
    <row r="3" spans="1:8" ht="12" hidden="1" customHeight="1" x14ac:dyDescent="0.2">
      <c r="A3" s="11"/>
      <c r="B3" s="11"/>
      <c r="C3" s="11"/>
      <c r="D3" s="24" t="s">
        <v>24</v>
      </c>
      <c r="E3" s="5">
        <v>41348</v>
      </c>
      <c r="F3" s="5"/>
      <c r="G3" s="5"/>
      <c r="H3" s="5"/>
    </row>
    <row r="4" spans="1:8" ht="12" hidden="1" customHeight="1" x14ac:dyDescent="0.2">
      <c r="A4" s="11"/>
      <c r="B4" s="11"/>
      <c r="C4" s="11"/>
      <c r="D4" s="24" t="s">
        <v>26</v>
      </c>
      <c r="E4" s="6" t="s">
        <v>138</v>
      </c>
      <c r="F4" s="6"/>
      <c r="G4" s="6"/>
      <c r="H4" s="6"/>
    </row>
    <row r="5" spans="1:8" ht="12" hidden="1" customHeight="1" x14ac:dyDescent="0.2">
      <c r="A5" s="11"/>
      <c r="B5" s="11"/>
      <c r="C5" s="11"/>
      <c r="D5" s="24" t="s">
        <v>159</v>
      </c>
      <c r="E5" s="6" t="s">
        <v>160</v>
      </c>
      <c r="F5" s="6"/>
      <c r="G5" s="6"/>
      <c r="H5" s="6"/>
    </row>
    <row r="6" spans="1:8" ht="408.75" hidden="1" customHeight="1" x14ac:dyDescent="0.2">
      <c r="A6" s="11"/>
      <c r="B6" s="11"/>
      <c r="C6" s="11"/>
      <c r="D6" s="24" t="s">
        <v>161</v>
      </c>
      <c r="E6" s="6" t="s">
        <v>162</v>
      </c>
      <c r="F6" s="6"/>
      <c r="G6" s="6"/>
      <c r="H6" s="6"/>
    </row>
    <row r="7" spans="1:8" ht="12" customHeight="1" x14ac:dyDescent="0.2">
      <c r="A7" s="11"/>
      <c r="B7" s="11"/>
      <c r="C7" s="11"/>
      <c r="D7" s="24" t="s">
        <v>30</v>
      </c>
      <c r="E7" s="4" t="s">
        <v>144</v>
      </c>
      <c r="F7" s="4"/>
      <c r="G7" s="4"/>
      <c r="H7" s="4"/>
    </row>
    <row r="8" spans="1:8" ht="12.75" customHeight="1" outlineLevel="1" x14ac:dyDescent="0.2">
      <c r="A8" s="11"/>
      <c r="B8" s="11"/>
      <c r="C8" s="11"/>
      <c r="D8" s="77"/>
      <c r="E8" s="11" t="s">
        <v>163</v>
      </c>
      <c r="F8" s="11"/>
      <c r="G8" s="11"/>
      <c r="H8" s="11"/>
    </row>
    <row r="9" spans="1:8" ht="12" customHeight="1" outlineLevel="1" x14ac:dyDescent="0.2">
      <c r="A9" s="3" t="s">
        <v>209</v>
      </c>
      <c r="B9" s="3"/>
      <c r="C9" s="2" t="s">
        <v>210</v>
      </c>
      <c r="D9" s="78" t="s">
        <v>164</v>
      </c>
      <c r="E9" s="1">
        <f>SUM(E10:F19)</f>
        <v>37</v>
      </c>
      <c r="F9" s="1"/>
      <c r="G9" s="121">
        <v>1</v>
      </c>
      <c r="H9" s="121"/>
    </row>
    <row r="10" spans="1:8" ht="12" customHeight="1" outlineLevel="1" x14ac:dyDescent="0.2">
      <c r="A10" s="3"/>
      <c r="B10" s="3"/>
      <c r="C10" s="2"/>
      <c r="D10" s="36" t="s">
        <v>97</v>
      </c>
      <c r="E10" s="122">
        <f>COUNTIF(E23:E100,"OK")</f>
        <v>26</v>
      </c>
      <c r="F10" s="122"/>
      <c r="G10" s="121">
        <f>E10/E9</f>
        <v>0.70270270270270274</v>
      </c>
      <c r="H10" s="121"/>
    </row>
    <row r="11" spans="1:8" ht="12" customHeight="1" outlineLevel="1" x14ac:dyDescent="0.2">
      <c r="A11" s="3"/>
      <c r="B11" s="3"/>
      <c r="C11" s="2"/>
      <c r="D11" s="36" t="s">
        <v>99</v>
      </c>
      <c r="E11" s="122">
        <f>COUNTIF(E23:E100,"Partially tested")</f>
        <v>0</v>
      </c>
      <c r="F11" s="122"/>
      <c r="G11" s="121">
        <f>E11/E9</f>
        <v>0</v>
      </c>
      <c r="H11" s="121"/>
    </row>
    <row r="12" spans="1:8" ht="12" customHeight="1" outlineLevel="1" x14ac:dyDescent="0.2">
      <c r="A12" s="3"/>
      <c r="B12" s="3"/>
      <c r="C12" s="2"/>
      <c r="D12" s="36" t="s">
        <v>94</v>
      </c>
      <c r="E12" s="122">
        <f>COUNTIF(E23:E100,"Enhancement")</f>
        <v>0</v>
      </c>
      <c r="F12" s="122"/>
      <c r="G12" s="121">
        <f>E12/E9</f>
        <v>0</v>
      </c>
      <c r="H12" s="121"/>
    </row>
    <row r="13" spans="1:8" ht="12" customHeight="1" outlineLevel="1" x14ac:dyDescent="0.2">
      <c r="A13" s="3"/>
      <c r="B13" s="3"/>
      <c r="C13" s="2"/>
      <c r="D13" s="36" t="s">
        <v>92</v>
      </c>
      <c r="E13" s="122">
        <f>COUNTIF(E23:E100,"Minor")</f>
        <v>5</v>
      </c>
      <c r="F13" s="122"/>
      <c r="G13" s="121">
        <f>E13/E9</f>
        <v>0.13513513513513514</v>
      </c>
      <c r="H13" s="121"/>
    </row>
    <row r="14" spans="1:8" ht="12" customHeight="1" outlineLevel="1" x14ac:dyDescent="0.2">
      <c r="A14" s="3"/>
      <c r="B14" s="3"/>
      <c r="C14" s="2"/>
      <c r="D14" s="36" t="s">
        <v>90</v>
      </c>
      <c r="E14" s="122">
        <f>COUNTIF(E25:E100,"Average")</f>
        <v>0</v>
      </c>
      <c r="F14" s="122"/>
      <c r="G14" s="121">
        <f>E14/E9</f>
        <v>0</v>
      </c>
      <c r="H14" s="121"/>
    </row>
    <row r="15" spans="1:8" ht="12" customHeight="1" outlineLevel="1" x14ac:dyDescent="0.2">
      <c r="A15" s="3"/>
      <c r="B15" s="3"/>
      <c r="C15" s="2"/>
      <c r="D15" s="36" t="s">
        <v>88</v>
      </c>
      <c r="E15" s="122">
        <f>COUNTIF(E22:E100,"Major")</f>
        <v>6</v>
      </c>
      <c r="F15" s="122"/>
      <c r="G15" s="121">
        <f>E15/E9</f>
        <v>0.16216216216216217</v>
      </c>
      <c r="H15" s="121"/>
    </row>
    <row r="16" spans="1:8" ht="12" customHeight="1" outlineLevel="1" x14ac:dyDescent="0.2">
      <c r="A16" s="3"/>
      <c r="B16" s="3"/>
      <c r="C16" s="2"/>
      <c r="D16" s="36" t="s">
        <v>86</v>
      </c>
      <c r="E16" s="122">
        <f>COUNTIF(E22:E100,"Critical")</f>
        <v>0</v>
      </c>
      <c r="F16" s="122"/>
      <c r="G16" s="121">
        <f>E16/E9</f>
        <v>0</v>
      </c>
      <c r="H16" s="121"/>
    </row>
    <row r="17" spans="1:1024" ht="12" customHeight="1" outlineLevel="1" x14ac:dyDescent="0.2">
      <c r="A17" s="3"/>
      <c r="B17" s="3"/>
      <c r="C17" s="2"/>
      <c r="D17" s="36" t="s">
        <v>101</v>
      </c>
      <c r="E17" s="122">
        <f>COUNTIF(E22:E100,"Not available")</f>
        <v>0</v>
      </c>
      <c r="F17" s="122"/>
      <c r="G17" s="121">
        <f>E17/E9</f>
        <v>0</v>
      </c>
      <c r="H17" s="121"/>
    </row>
    <row r="18" spans="1:1024" ht="12" customHeight="1" outlineLevel="1" x14ac:dyDescent="0.2">
      <c r="A18" s="3"/>
      <c r="B18" s="3"/>
      <c r="C18" s="2"/>
      <c r="D18" s="36" t="s">
        <v>103</v>
      </c>
      <c r="E18" s="122">
        <f>COUNTIF(E22:E100,"Not implemented")</f>
        <v>0</v>
      </c>
      <c r="F18" s="122"/>
      <c r="G18" s="121">
        <f>E18/E9</f>
        <v>0</v>
      </c>
      <c r="H18" s="121"/>
    </row>
    <row r="19" spans="1:1024" ht="12" customHeight="1" outlineLevel="1" x14ac:dyDescent="0.2">
      <c r="A19" s="3"/>
      <c r="B19" s="3"/>
      <c r="C19" s="2"/>
      <c r="D19" s="36" t="s">
        <v>105</v>
      </c>
      <c r="E19" s="122">
        <f>COUNTIF(E22:E100,"Not tested")</f>
        <v>0</v>
      </c>
      <c r="F19" s="122"/>
      <c r="G19" s="121">
        <f>E19/E9</f>
        <v>0</v>
      </c>
      <c r="H19" s="121"/>
    </row>
    <row r="20" spans="1:1024" ht="12" customHeight="1" outlineLevel="1" x14ac:dyDescent="0.2">
      <c r="A20" s="3"/>
      <c r="B20" s="3"/>
      <c r="C20" s="2"/>
      <c r="D20" s="79" t="s">
        <v>165</v>
      </c>
      <c r="E20" s="1">
        <f>ROUND(SUM(H22:H100,)/60, 2)</f>
        <v>0</v>
      </c>
      <c r="F20" s="1"/>
      <c r="G20" s="121"/>
      <c r="H20" s="121"/>
    </row>
    <row r="21" spans="1:1024" s="83" customFormat="1" ht="28.5" customHeight="1" x14ac:dyDescent="0.2">
      <c r="A21" s="80" t="s">
        <v>166</v>
      </c>
      <c r="B21" s="80" t="s">
        <v>167</v>
      </c>
      <c r="C21" s="80" t="s">
        <v>168</v>
      </c>
      <c r="D21" s="80" t="s">
        <v>169</v>
      </c>
      <c r="E21" s="80" t="s">
        <v>170</v>
      </c>
      <c r="F21" s="80" t="s">
        <v>171</v>
      </c>
      <c r="G21" s="80" t="s">
        <v>26</v>
      </c>
      <c r="H21" s="81" t="s">
        <v>172</v>
      </c>
      <c r="I21" s="82"/>
      <c r="AMJ21"/>
    </row>
    <row r="22" spans="1:1024" x14ac:dyDescent="0.2">
      <c r="A22" s="84"/>
      <c r="B22" s="84" t="s">
        <v>173</v>
      </c>
      <c r="C22" s="84"/>
      <c r="D22" s="84"/>
      <c r="E22" s="84"/>
      <c r="F22" s="84"/>
      <c r="G22" s="84"/>
      <c r="H22" s="84"/>
    </row>
    <row r="23" spans="1:1024" ht="12" customHeight="1" x14ac:dyDescent="0.2">
      <c r="A23" s="58" t="s">
        <v>174</v>
      </c>
      <c r="B23" s="123" t="s">
        <v>211</v>
      </c>
      <c r="C23" s="144" t="s">
        <v>229</v>
      </c>
      <c r="D23" s="144" t="s">
        <v>230</v>
      </c>
      <c r="E23" s="36" t="s">
        <v>92</v>
      </c>
      <c r="F23" s="85"/>
      <c r="G23" s="86" t="s">
        <v>292</v>
      </c>
      <c r="H23" s="86"/>
    </row>
    <row r="24" spans="1:1024" x14ac:dyDescent="0.2">
      <c r="A24" s="58" t="s">
        <v>11</v>
      </c>
      <c r="B24" s="137"/>
      <c r="C24" s="144" t="s">
        <v>231</v>
      </c>
      <c r="D24" s="144" t="s">
        <v>232</v>
      </c>
      <c r="E24" s="36" t="s">
        <v>97</v>
      </c>
      <c r="F24" s="85"/>
      <c r="G24" s="146" t="s">
        <v>292</v>
      </c>
      <c r="H24" s="86"/>
    </row>
    <row r="25" spans="1:1024" ht="12" customHeight="1" x14ac:dyDescent="0.2">
      <c r="A25" s="58" t="s">
        <v>11</v>
      </c>
      <c r="B25" s="137"/>
      <c r="C25" s="144" t="s">
        <v>233</v>
      </c>
      <c r="D25" s="144" t="s">
        <v>234</v>
      </c>
      <c r="E25" s="36" t="s">
        <v>97</v>
      </c>
      <c r="F25" s="85"/>
      <c r="G25" s="146" t="s">
        <v>292</v>
      </c>
      <c r="H25" s="86"/>
    </row>
    <row r="26" spans="1:1024" ht="12" customHeight="1" x14ac:dyDescent="0.2">
      <c r="A26" s="58" t="s">
        <v>11</v>
      </c>
      <c r="B26" s="140"/>
      <c r="C26" s="144" t="s">
        <v>219</v>
      </c>
      <c r="D26" s="144" t="s">
        <v>235</v>
      </c>
      <c r="E26" s="36" t="s">
        <v>88</v>
      </c>
      <c r="F26" s="85"/>
      <c r="G26" s="146" t="s">
        <v>292</v>
      </c>
      <c r="H26" s="86"/>
    </row>
    <row r="27" spans="1:1024" s="35" customFormat="1" x14ac:dyDescent="0.2">
      <c r="A27" s="84"/>
      <c r="B27" s="84" t="s">
        <v>175</v>
      </c>
      <c r="C27" s="136"/>
      <c r="D27" s="136"/>
      <c r="E27" s="84"/>
      <c r="F27" s="84"/>
      <c r="G27" s="84"/>
      <c r="H27" s="84"/>
      <c r="I27" s="49"/>
      <c r="AMJ27"/>
    </row>
    <row r="28" spans="1:1024" s="35" customFormat="1" x14ac:dyDescent="0.2">
      <c r="A28" s="58" t="s">
        <v>174</v>
      </c>
      <c r="B28" s="123" t="s">
        <v>212</v>
      </c>
      <c r="C28" s="144" t="s">
        <v>214</v>
      </c>
      <c r="D28" s="144" t="s">
        <v>267</v>
      </c>
      <c r="E28" s="36" t="s">
        <v>97</v>
      </c>
      <c r="F28" s="85"/>
      <c r="G28" s="146" t="s">
        <v>292</v>
      </c>
      <c r="H28" s="86"/>
      <c r="I28" s="49"/>
      <c r="AMJ28"/>
    </row>
    <row r="29" spans="1:1024" s="35" customFormat="1" x14ac:dyDescent="0.2">
      <c r="A29" s="58" t="s">
        <v>11</v>
      </c>
      <c r="B29" s="137"/>
      <c r="C29" s="144" t="s">
        <v>215</v>
      </c>
      <c r="D29" s="144" t="s">
        <v>216</v>
      </c>
      <c r="E29" s="36" t="s">
        <v>97</v>
      </c>
      <c r="F29" s="85"/>
      <c r="G29" s="146" t="s">
        <v>292</v>
      </c>
      <c r="H29" s="86"/>
      <c r="I29" s="49"/>
      <c r="AMJ29"/>
    </row>
    <row r="30" spans="1:1024" s="35" customFormat="1" x14ac:dyDescent="0.2">
      <c r="A30" s="58" t="s">
        <v>11</v>
      </c>
      <c r="B30" s="137"/>
      <c r="C30" s="144" t="s">
        <v>217</v>
      </c>
      <c r="D30" s="144" t="s">
        <v>218</v>
      </c>
      <c r="E30" s="36" t="s">
        <v>88</v>
      </c>
      <c r="F30" s="85"/>
      <c r="G30" s="146" t="s">
        <v>292</v>
      </c>
      <c r="H30" s="86"/>
      <c r="I30" s="49"/>
      <c r="AMJ30"/>
    </row>
    <row r="31" spans="1:1024" s="35" customFormat="1" x14ac:dyDescent="0.2">
      <c r="A31" s="58" t="s">
        <v>13</v>
      </c>
      <c r="B31" s="137"/>
      <c r="C31" s="144" t="s">
        <v>290</v>
      </c>
      <c r="D31" s="144" t="s">
        <v>291</v>
      </c>
      <c r="E31" s="143" t="s">
        <v>88</v>
      </c>
      <c r="F31" s="145"/>
      <c r="G31" s="146" t="s">
        <v>292</v>
      </c>
      <c r="H31" s="146"/>
      <c r="I31" s="49"/>
      <c r="AMJ31"/>
    </row>
    <row r="32" spans="1:1024" s="35" customFormat="1" x14ac:dyDescent="0.2">
      <c r="A32" s="58" t="s">
        <v>11</v>
      </c>
      <c r="B32" s="137"/>
      <c r="C32" s="144" t="s">
        <v>176</v>
      </c>
      <c r="D32" s="144" t="s">
        <v>177</v>
      </c>
      <c r="E32" s="36" t="s">
        <v>97</v>
      </c>
      <c r="F32" s="85"/>
      <c r="G32" s="146" t="s">
        <v>292</v>
      </c>
      <c r="H32" s="86"/>
      <c r="I32" s="49"/>
      <c r="AMJ32"/>
    </row>
    <row r="33" spans="1:1024" x14ac:dyDescent="0.2">
      <c r="A33" s="58" t="s">
        <v>13</v>
      </c>
      <c r="B33" s="137"/>
      <c r="C33" s="144" t="s">
        <v>220</v>
      </c>
      <c r="D33" s="144" t="s">
        <v>221</v>
      </c>
      <c r="E33" s="36" t="s">
        <v>88</v>
      </c>
      <c r="F33" s="145"/>
      <c r="G33" s="146" t="s">
        <v>292</v>
      </c>
      <c r="H33" s="146"/>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row>
    <row r="34" spans="1:1024" s="35" customFormat="1" x14ac:dyDescent="0.2">
      <c r="A34" s="58" t="s">
        <v>11</v>
      </c>
      <c r="B34" s="137"/>
      <c r="C34" s="144" t="s">
        <v>222</v>
      </c>
      <c r="D34" s="144" t="s">
        <v>223</v>
      </c>
      <c r="E34" s="36" t="s">
        <v>88</v>
      </c>
      <c r="F34" s="145"/>
      <c r="G34" s="146" t="s">
        <v>292</v>
      </c>
      <c r="H34" s="146"/>
      <c r="I34" s="49"/>
      <c r="AMJ34"/>
    </row>
    <row r="35" spans="1:1024" s="35" customFormat="1" x14ac:dyDescent="0.2">
      <c r="A35" s="58" t="s">
        <v>11</v>
      </c>
      <c r="B35" s="137"/>
      <c r="C35" s="144" t="s">
        <v>224</v>
      </c>
      <c r="D35" s="144" t="s">
        <v>225</v>
      </c>
      <c r="E35" s="36" t="s">
        <v>97</v>
      </c>
      <c r="F35" s="145"/>
      <c r="G35" s="146" t="s">
        <v>292</v>
      </c>
      <c r="H35" s="146"/>
      <c r="I35" s="49"/>
      <c r="AMJ35"/>
    </row>
    <row r="36" spans="1:1024" s="35" customFormat="1" ht="13.5" customHeight="1" x14ac:dyDescent="0.2">
      <c r="A36" s="58" t="s">
        <v>13</v>
      </c>
      <c r="B36" s="137"/>
      <c r="C36" s="144" t="s">
        <v>226</v>
      </c>
      <c r="D36" s="144" t="s">
        <v>268</v>
      </c>
      <c r="E36" s="143" t="s">
        <v>88</v>
      </c>
      <c r="F36" s="145"/>
      <c r="G36" s="146" t="s">
        <v>292</v>
      </c>
      <c r="H36" s="146"/>
      <c r="I36" s="49"/>
      <c r="AMJ36"/>
    </row>
    <row r="37" spans="1:1024" s="35" customFormat="1" x14ac:dyDescent="0.2">
      <c r="A37" s="58" t="s">
        <v>11</v>
      </c>
      <c r="B37" s="140"/>
      <c r="C37" s="144" t="s">
        <v>227</v>
      </c>
      <c r="D37" s="144" t="s">
        <v>228</v>
      </c>
      <c r="E37" s="143" t="s">
        <v>97</v>
      </c>
      <c r="F37" s="145"/>
      <c r="G37" s="146" t="s">
        <v>292</v>
      </c>
      <c r="H37" s="146"/>
      <c r="I37" s="49"/>
      <c r="AMJ37"/>
    </row>
    <row r="38" spans="1:1024" s="35" customFormat="1" x14ac:dyDescent="0.2">
      <c r="A38" s="84"/>
      <c r="B38" s="84" t="s">
        <v>264</v>
      </c>
      <c r="C38" s="136"/>
      <c r="D38" s="136"/>
      <c r="E38" s="84"/>
      <c r="F38" s="84"/>
      <c r="G38" s="84"/>
      <c r="H38" s="84"/>
      <c r="I38" s="49"/>
      <c r="AMJ38"/>
    </row>
    <row r="39" spans="1:1024" s="35" customFormat="1" x14ac:dyDescent="0.2">
      <c r="A39" s="58" t="s">
        <v>11</v>
      </c>
      <c r="B39" s="142" t="s">
        <v>244</v>
      </c>
      <c r="C39" s="144" t="s">
        <v>253</v>
      </c>
      <c r="D39" s="144" t="s">
        <v>254</v>
      </c>
      <c r="E39" s="36" t="s">
        <v>97</v>
      </c>
      <c r="F39" s="85"/>
      <c r="G39" s="146" t="s">
        <v>292</v>
      </c>
      <c r="H39" s="86"/>
      <c r="I39" s="49"/>
      <c r="AMJ39"/>
    </row>
    <row r="40" spans="1:1024" s="35" customFormat="1" x14ac:dyDescent="0.2">
      <c r="A40" s="58" t="s">
        <v>11</v>
      </c>
      <c r="B40" s="141"/>
      <c r="C40" s="144" t="s">
        <v>256</v>
      </c>
      <c r="D40" s="144" t="s">
        <v>272</v>
      </c>
      <c r="E40" s="36" t="s">
        <v>92</v>
      </c>
      <c r="F40" s="85"/>
      <c r="G40" s="146" t="s">
        <v>292</v>
      </c>
      <c r="H40" s="86"/>
      <c r="I40" s="49"/>
      <c r="AMJ40"/>
    </row>
    <row r="41" spans="1:1024" s="35" customFormat="1" x14ac:dyDescent="0.2">
      <c r="A41" s="58" t="s">
        <v>11</v>
      </c>
      <c r="B41" s="141"/>
      <c r="C41" s="144" t="s">
        <v>238</v>
      </c>
      <c r="D41" s="144" t="s">
        <v>239</v>
      </c>
      <c r="E41" s="36" t="s">
        <v>97</v>
      </c>
      <c r="F41" s="85"/>
      <c r="G41" s="146" t="s">
        <v>292</v>
      </c>
      <c r="H41" s="86"/>
      <c r="I41" s="49"/>
      <c r="AMJ41"/>
    </row>
    <row r="42" spans="1:1024" s="35" customFormat="1" x14ac:dyDescent="0.2">
      <c r="A42" s="58" t="s">
        <v>13</v>
      </c>
      <c r="B42" s="141"/>
      <c r="C42" s="144" t="s">
        <v>270</v>
      </c>
      <c r="D42" s="144" t="s">
        <v>240</v>
      </c>
      <c r="E42" s="36" t="s">
        <v>97</v>
      </c>
      <c r="F42" s="86"/>
      <c r="G42" s="146" t="s">
        <v>292</v>
      </c>
      <c r="H42" s="86"/>
      <c r="I42" s="49"/>
      <c r="AMJ42"/>
    </row>
    <row r="43" spans="1:1024" s="35" customFormat="1" x14ac:dyDescent="0.2">
      <c r="A43" s="58" t="s">
        <v>13</v>
      </c>
      <c r="B43" s="141"/>
      <c r="C43" s="144" t="s">
        <v>269</v>
      </c>
      <c r="D43" s="144" t="s">
        <v>241</v>
      </c>
      <c r="E43" s="36" t="s">
        <v>97</v>
      </c>
      <c r="F43" s="146"/>
      <c r="G43" s="146" t="s">
        <v>292</v>
      </c>
      <c r="H43" s="146"/>
      <c r="I43" s="49"/>
      <c r="AMJ43"/>
    </row>
    <row r="44" spans="1:1024" s="35" customFormat="1" x14ac:dyDescent="0.2">
      <c r="A44" s="58" t="s">
        <v>11</v>
      </c>
      <c r="B44" s="141"/>
      <c r="C44" s="144" t="s">
        <v>242</v>
      </c>
      <c r="D44" s="144" t="s">
        <v>243</v>
      </c>
      <c r="E44" s="36" t="s">
        <v>92</v>
      </c>
      <c r="F44" s="146"/>
      <c r="G44" s="146" t="s">
        <v>292</v>
      </c>
      <c r="H44" s="146"/>
      <c r="I44" s="49"/>
      <c r="AMJ44"/>
    </row>
    <row r="45" spans="1:1024" s="35" customFormat="1" x14ac:dyDescent="0.2">
      <c r="A45" s="58" t="s">
        <v>11</v>
      </c>
      <c r="B45" s="141"/>
      <c r="C45" s="144" t="s">
        <v>236</v>
      </c>
      <c r="D45" s="144" t="s">
        <v>237</v>
      </c>
      <c r="E45" s="36" t="s">
        <v>97</v>
      </c>
      <c r="F45" s="146"/>
      <c r="G45" s="146" t="s">
        <v>292</v>
      </c>
      <c r="H45" s="146"/>
      <c r="I45" s="49"/>
      <c r="AMJ45"/>
    </row>
    <row r="46" spans="1:1024" s="35" customFormat="1" x14ac:dyDescent="0.2">
      <c r="A46" s="58" t="s">
        <v>13</v>
      </c>
      <c r="B46" s="141"/>
      <c r="C46" s="35" t="s">
        <v>265</v>
      </c>
      <c r="D46" s="35" t="s">
        <v>266</v>
      </c>
      <c r="E46" s="36" t="s">
        <v>92</v>
      </c>
      <c r="F46" s="146"/>
      <c r="G46" s="146" t="s">
        <v>292</v>
      </c>
      <c r="H46" s="146"/>
      <c r="I46" s="49"/>
      <c r="AMJ46"/>
    </row>
    <row r="47" spans="1:1024" s="35" customFormat="1" x14ac:dyDescent="0.2">
      <c r="A47" s="58" t="s">
        <v>11</v>
      </c>
      <c r="B47" s="139"/>
      <c r="C47" s="144" t="s">
        <v>271</v>
      </c>
      <c r="D47" s="144" t="s">
        <v>255</v>
      </c>
      <c r="E47" s="36" t="s">
        <v>97</v>
      </c>
      <c r="F47" s="146"/>
      <c r="G47" s="146" t="s">
        <v>292</v>
      </c>
      <c r="H47" s="146"/>
      <c r="I47" s="49"/>
      <c r="AMJ47"/>
    </row>
    <row r="48" spans="1:1024" s="35" customFormat="1" x14ac:dyDescent="0.2">
      <c r="A48" s="84"/>
      <c r="B48" s="84" t="s">
        <v>288</v>
      </c>
      <c r="C48" s="136" t="s">
        <v>213</v>
      </c>
      <c r="D48" s="136" t="s">
        <v>169</v>
      </c>
      <c r="E48" s="84"/>
      <c r="F48" s="84"/>
      <c r="G48" s="84"/>
      <c r="H48" s="84"/>
      <c r="I48" s="49"/>
      <c r="AMJ48"/>
    </row>
    <row r="49" spans="1:1024" s="35" customFormat="1" x14ac:dyDescent="0.2">
      <c r="A49" s="58" t="s">
        <v>11</v>
      </c>
      <c r="B49" s="123" t="s">
        <v>245</v>
      </c>
      <c r="C49" s="144" t="s">
        <v>273</v>
      </c>
      <c r="D49" s="144" t="s">
        <v>246</v>
      </c>
      <c r="E49" s="36" t="s">
        <v>97</v>
      </c>
      <c r="F49" s="85"/>
      <c r="G49" s="146" t="s">
        <v>292</v>
      </c>
      <c r="H49" s="86"/>
      <c r="I49" s="49"/>
      <c r="AMJ49"/>
    </row>
    <row r="50" spans="1:1024" s="35" customFormat="1" x14ac:dyDescent="0.2">
      <c r="A50" s="58" t="s">
        <v>13</v>
      </c>
      <c r="B50" s="137"/>
      <c r="C50" s="144" t="s">
        <v>247</v>
      </c>
      <c r="D50" s="144" t="s">
        <v>248</v>
      </c>
      <c r="E50" s="36" t="s">
        <v>97</v>
      </c>
      <c r="F50" s="85"/>
      <c r="G50" s="146" t="s">
        <v>292</v>
      </c>
      <c r="H50" s="86"/>
      <c r="I50" s="49"/>
      <c r="AMJ50"/>
    </row>
    <row r="51" spans="1:1024" s="35" customFormat="1" x14ac:dyDescent="0.2">
      <c r="A51" s="58" t="s">
        <v>13</v>
      </c>
      <c r="B51" s="137"/>
      <c r="C51" s="144" t="s">
        <v>249</v>
      </c>
      <c r="D51" s="144" t="s">
        <v>250</v>
      </c>
      <c r="E51" s="36" t="s">
        <v>97</v>
      </c>
      <c r="F51" s="85"/>
      <c r="G51" s="146" t="s">
        <v>292</v>
      </c>
      <c r="H51" s="86"/>
      <c r="I51" s="49"/>
      <c r="AMJ51"/>
    </row>
    <row r="52" spans="1:1024" s="35" customFormat="1" ht="13.5" customHeight="1" x14ac:dyDescent="0.2">
      <c r="A52" s="58" t="s">
        <v>13</v>
      </c>
      <c r="B52" s="137"/>
      <c r="C52" s="144" t="s">
        <v>274</v>
      </c>
      <c r="D52" s="138" t="s">
        <v>275</v>
      </c>
      <c r="E52" s="36" t="s">
        <v>97</v>
      </c>
      <c r="F52" s="85"/>
      <c r="G52" s="146" t="s">
        <v>292</v>
      </c>
      <c r="H52" s="86"/>
      <c r="I52" s="49"/>
      <c r="AMJ52"/>
    </row>
    <row r="53" spans="1:1024" s="35" customFormat="1" x14ac:dyDescent="0.2">
      <c r="A53" s="58" t="s">
        <v>11</v>
      </c>
      <c r="B53" s="137"/>
      <c r="C53" s="144" t="s">
        <v>276</v>
      </c>
      <c r="D53" s="144" t="s">
        <v>277</v>
      </c>
      <c r="E53" s="36" t="s">
        <v>97</v>
      </c>
      <c r="F53" s="86"/>
      <c r="G53" s="146" t="s">
        <v>292</v>
      </c>
      <c r="H53" s="86"/>
      <c r="I53" s="49"/>
      <c r="AMJ53"/>
    </row>
    <row r="54" spans="1:1024" s="35" customFormat="1" ht="15" customHeight="1" x14ac:dyDescent="0.2">
      <c r="A54" s="58" t="s">
        <v>11</v>
      </c>
      <c r="B54" s="137"/>
      <c r="C54" s="144" t="s">
        <v>278</v>
      </c>
      <c r="D54" s="144" t="s">
        <v>279</v>
      </c>
      <c r="E54" s="36" t="s">
        <v>97</v>
      </c>
      <c r="F54" s="146"/>
      <c r="G54" s="146" t="s">
        <v>292</v>
      </c>
      <c r="H54" s="146"/>
      <c r="I54" s="49"/>
      <c r="AMJ54"/>
    </row>
    <row r="55" spans="1:1024" s="35" customFormat="1" x14ac:dyDescent="0.2">
      <c r="A55" s="58" t="s">
        <v>13</v>
      </c>
      <c r="B55" s="140"/>
      <c r="C55" s="144" t="s">
        <v>251</v>
      </c>
      <c r="D55" s="144" t="s">
        <v>252</v>
      </c>
      <c r="E55" s="36" t="s">
        <v>97</v>
      </c>
      <c r="F55" s="146"/>
      <c r="G55" s="146" t="s">
        <v>292</v>
      </c>
      <c r="H55" s="146"/>
      <c r="I55" s="49"/>
      <c r="AMJ55"/>
    </row>
    <row r="56" spans="1:1024" s="35" customFormat="1" x14ac:dyDescent="0.2">
      <c r="A56" s="84"/>
      <c r="B56" s="84" t="s">
        <v>289</v>
      </c>
      <c r="C56" s="136"/>
      <c r="D56" s="136"/>
      <c r="E56" s="84"/>
      <c r="F56" s="84"/>
      <c r="G56" s="84"/>
      <c r="H56" s="84"/>
      <c r="I56" s="49"/>
      <c r="AMJ56"/>
    </row>
    <row r="57" spans="1:1024" s="35" customFormat="1" x14ac:dyDescent="0.2">
      <c r="A57" s="58" t="s">
        <v>174</v>
      </c>
      <c r="B57" s="123" t="s">
        <v>257</v>
      </c>
      <c r="C57" s="144" t="s">
        <v>281</v>
      </c>
      <c r="D57" s="144" t="s">
        <v>280</v>
      </c>
      <c r="E57" s="143" t="s">
        <v>97</v>
      </c>
      <c r="F57" s="145"/>
      <c r="G57" s="146" t="s">
        <v>292</v>
      </c>
      <c r="H57" s="146"/>
      <c r="I57" s="49"/>
      <c r="AMJ57"/>
    </row>
    <row r="58" spans="1:1024" s="35" customFormat="1" x14ac:dyDescent="0.2">
      <c r="A58" s="58" t="s">
        <v>11</v>
      </c>
      <c r="B58" s="137"/>
      <c r="C58" s="144" t="s">
        <v>284</v>
      </c>
      <c r="D58" s="144" t="s">
        <v>258</v>
      </c>
      <c r="E58" s="143" t="s">
        <v>97</v>
      </c>
      <c r="F58" s="145"/>
      <c r="G58" s="146" t="s">
        <v>292</v>
      </c>
      <c r="H58" s="146"/>
      <c r="I58" s="49"/>
      <c r="AMJ58"/>
    </row>
    <row r="59" spans="1:1024" s="35" customFormat="1" x14ac:dyDescent="0.2">
      <c r="A59" s="58" t="s">
        <v>11</v>
      </c>
      <c r="B59" s="137"/>
      <c r="C59" s="144" t="s">
        <v>283</v>
      </c>
      <c r="D59" s="144" t="s">
        <v>259</v>
      </c>
      <c r="E59" s="143" t="s">
        <v>97</v>
      </c>
      <c r="F59" s="145"/>
      <c r="G59" s="146" t="s">
        <v>292</v>
      </c>
      <c r="H59" s="146"/>
      <c r="I59" s="49"/>
      <c r="AMJ59"/>
    </row>
    <row r="60" spans="1:1024" s="35" customFormat="1" x14ac:dyDescent="0.2">
      <c r="A60" s="58" t="s">
        <v>11</v>
      </c>
      <c r="B60" s="137"/>
      <c r="C60" s="144" t="s">
        <v>282</v>
      </c>
      <c r="D60" s="144" t="s">
        <v>260</v>
      </c>
      <c r="E60" s="143" t="s">
        <v>97</v>
      </c>
      <c r="F60" s="145"/>
      <c r="G60" s="146" t="s">
        <v>292</v>
      </c>
      <c r="H60" s="146"/>
      <c r="I60" s="49"/>
      <c r="AMJ60"/>
    </row>
    <row r="61" spans="1:1024" s="35" customFormat="1" ht="11.25" customHeight="1" x14ac:dyDescent="0.2">
      <c r="A61" s="58" t="s">
        <v>13</v>
      </c>
      <c r="B61" s="137"/>
      <c r="C61" s="144" t="s">
        <v>262</v>
      </c>
      <c r="D61" s="144" t="s">
        <v>263</v>
      </c>
      <c r="E61" s="143" t="s">
        <v>97</v>
      </c>
      <c r="F61" s="145"/>
      <c r="G61" s="146" t="s">
        <v>292</v>
      </c>
      <c r="H61" s="146"/>
      <c r="I61" s="49"/>
      <c r="AMJ61"/>
    </row>
    <row r="62" spans="1:1024" s="35" customFormat="1" x14ac:dyDescent="0.2">
      <c r="A62" s="58" t="s">
        <v>11</v>
      </c>
      <c r="B62" s="137"/>
      <c r="C62" s="144" t="s">
        <v>285</v>
      </c>
      <c r="D62" s="144" t="s">
        <v>286</v>
      </c>
      <c r="E62" s="143" t="s">
        <v>92</v>
      </c>
      <c r="F62" s="145"/>
      <c r="G62" s="146" t="s">
        <v>292</v>
      </c>
      <c r="H62" s="146"/>
      <c r="I62" s="49"/>
      <c r="AMJ62"/>
    </row>
    <row r="63" spans="1:1024" s="35" customFormat="1" x14ac:dyDescent="0.2">
      <c r="A63" s="58" t="s">
        <v>13</v>
      </c>
      <c r="B63" s="137"/>
      <c r="C63" s="144" t="s">
        <v>261</v>
      </c>
      <c r="D63" s="144" t="s">
        <v>287</v>
      </c>
      <c r="E63" s="143" t="s">
        <v>97</v>
      </c>
      <c r="F63" s="145"/>
      <c r="G63" s="146" t="s">
        <v>292</v>
      </c>
      <c r="H63" s="146"/>
      <c r="I63" s="49"/>
      <c r="AMJ63"/>
    </row>
    <row r="64" spans="1:1024" s="35" customFormat="1" x14ac:dyDescent="0.2">
      <c r="A64" s="49"/>
      <c r="C64" s="52"/>
      <c r="I64" s="49"/>
      <c r="AMJ64"/>
    </row>
    <row r="65" spans="1:1024" s="35" customFormat="1" x14ac:dyDescent="0.2">
      <c r="A65" s="49"/>
      <c r="C65" s="52"/>
      <c r="I65" s="49"/>
      <c r="AMJ65"/>
    </row>
    <row r="66" spans="1:1024" s="35" customFormat="1" x14ac:dyDescent="0.2">
      <c r="A66" s="49"/>
      <c r="C66" s="52"/>
      <c r="I66" s="49"/>
      <c r="AMJ66"/>
    </row>
    <row r="67" spans="1:1024" s="35" customFormat="1" x14ac:dyDescent="0.2">
      <c r="A67" s="49"/>
      <c r="C67" s="52"/>
      <c r="I67" s="49"/>
      <c r="AMJ67"/>
    </row>
    <row r="68" spans="1:1024" s="35" customFormat="1" x14ac:dyDescent="0.2">
      <c r="A68" s="49"/>
      <c r="C68" s="52"/>
      <c r="I68" s="49"/>
      <c r="AMJ68"/>
    </row>
    <row r="69" spans="1:1024" s="35" customFormat="1" ht="12" customHeight="1" x14ac:dyDescent="0.2">
      <c r="A69" s="49"/>
      <c r="C69" s="52"/>
      <c r="I69" s="49"/>
      <c r="AMJ69"/>
    </row>
    <row r="70" spans="1:1024" s="35" customFormat="1" ht="12" customHeight="1" x14ac:dyDescent="0.2">
      <c r="A70" s="49"/>
      <c r="C70" s="52"/>
      <c r="I70" s="49"/>
      <c r="AMJ70"/>
    </row>
    <row r="71" spans="1:1024" s="35" customFormat="1" ht="12" customHeight="1" x14ac:dyDescent="0.2">
      <c r="A71" s="49"/>
      <c r="C71" s="52"/>
      <c r="I71" s="49"/>
      <c r="AMJ71"/>
    </row>
    <row r="72" spans="1:1024" s="35" customFormat="1" ht="12" customHeight="1" x14ac:dyDescent="0.2">
      <c r="A72" s="49"/>
      <c r="C72" s="52"/>
      <c r="I72" s="49"/>
      <c r="AMJ72"/>
    </row>
    <row r="73" spans="1:1024" s="35" customFormat="1" ht="12" customHeight="1" x14ac:dyDescent="0.2">
      <c r="A73" s="49"/>
      <c r="C73" s="52"/>
      <c r="I73" s="49"/>
      <c r="AMJ73"/>
    </row>
    <row r="74" spans="1:1024" s="35" customFormat="1" ht="12" customHeight="1" x14ac:dyDescent="0.2">
      <c r="A74" s="49"/>
      <c r="C74" s="52"/>
      <c r="I74" s="49"/>
      <c r="AMJ74"/>
    </row>
    <row r="75" spans="1:1024" s="35" customFormat="1" ht="12" customHeight="1" x14ac:dyDescent="0.2">
      <c r="A75" s="49"/>
      <c r="C75" s="52"/>
      <c r="I75" s="49"/>
      <c r="AMJ75"/>
    </row>
    <row r="76" spans="1:1024" s="35" customFormat="1" ht="12" customHeight="1" x14ac:dyDescent="0.2">
      <c r="A76" s="49"/>
      <c r="C76" s="52"/>
      <c r="I76" s="49"/>
      <c r="AMJ76"/>
    </row>
    <row r="77" spans="1:1024" s="35" customFormat="1" ht="12" customHeight="1" x14ac:dyDescent="0.2">
      <c r="A77" s="49"/>
      <c r="C77" s="52"/>
      <c r="I77" s="49"/>
      <c r="AMJ77"/>
    </row>
    <row r="78" spans="1:1024" s="35" customFormat="1" ht="12" customHeight="1" x14ac:dyDescent="0.2">
      <c r="A78" s="49"/>
      <c r="C78" s="52"/>
      <c r="I78" s="49"/>
      <c r="AMJ78"/>
    </row>
    <row r="79" spans="1:1024" s="35" customFormat="1" ht="12" customHeight="1" x14ac:dyDescent="0.2">
      <c r="A79" s="49"/>
      <c r="C79" s="52"/>
      <c r="I79" s="49"/>
      <c r="AMJ79"/>
    </row>
    <row r="80" spans="1:1024" s="35" customFormat="1" ht="12" customHeight="1" x14ac:dyDescent="0.2">
      <c r="A80" s="49"/>
      <c r="C80" s="52"/>
      <c r="I80" s="49"/>
      <c r="AMJ80"/>
    </row>
    <row r="81" spans="1:1024" s="35" customFormat="1" ht="12" customHeight="1" x14ac:dyDescent="0.2">
      <c r="A81" s="49"/>
      <c r="C81" s="52"/>
      <c r="I81" s="49"/>
      <c r="AMJ81"/>
    </row>
    <row r="82" spans="1:1024" s="35" customFormat="1" ht="12" customHeight="1" x14ac:dyDescent="0.2">
      <c r="A82" s="49"/>
      <c r="C82" s="52"/>
      <c r="I82" s="49"/>
      <c r="AMJ82"/>
    </row>
    <row r="83" spans="1:1024" s="35" customFormat="1" ht="12" customHeight="1" x14ac:dyDescent="0.2">
      <c r="A83" s="49"/>
      <c r="C83" s="52"/>
      <c r="I83" s="49"/>
      <c r="AMJ83"/>
    </row>
    <row r="84" spans="1:1024" s="35" customFormat="1" ht="12" customHeight="1" x14ac:dyDescent="0.2">
      <c r="A84" s="49"/>
      <c r="C84" s="52"/>
      <c r="I84" s="49"/>
      <c r="AMJ84"/>
    </row>
    <row r="85" spans="1:1024" s="35" customFormat="1" ht="12" customHeight="1" x14ac:dyDescent="0.2">
      <c r="A85" s="49"/>
      <c r="C85" s="52"/>
      <c r="I85" s="49"/>
      <c r="AMJ85"/>
    </row>
    <row r="86" spans="1:1024" s="35" customFormat="1" ht="12" customHeight="1" x14ac:dyDescent="0.2">
      <c r="A86" s="49"/>
      <c r="C86" s="52"/>
      <c r="I86" s="49"/>
      <c r="AMJ86"/>
    </row>
    <row r="87" spans="1:1024" s="35" customFormat="1" ht="12" customHeight="1" x14ac:dyDescent="0.2">
      <c r="A87" s="49"/>
      <c r="C87" s="52"/>
      <c r="I87" s="49"/>
      <c r="AMJ87"/>
    </row>
    <row r="88" spans="1:1024" s="35" customFormat="1" ht="12" customHeight="1" x14ac:dyDescent="0.2">
      <c r="A88" s="49"/>
      <c r="C88" s="52"/>
      <c r="I88" s="49"/>
      <c r="AMJ88"/>
    </row>
    <row r="89" spans="1:1024" s="35" customFormat="1" ht="12" customHeight="1" x14ac:dyDescent="0.2">
      <c r="A89" s="49"/>
      <c r="C89" s="52"/>
      <c r="I89" s="49"/>
      <c r="AMJ89"/>
    </row>
    <row r="90" spans="1:1024" s="35" customFormat="1" ht="12" customHeight="1" x14ac:dyDescent="0.2">
      <c r="A90" s="49"/>
      <c r="C90" s="52"/>
      <c r="I90" s="49"/>
      <c r="AMJ90"/>
    </row>
    <row r="91" spans="1:1024" s="35" customFormat="1" ht="12" customHeight="1" x14ac:dyDescent="0.2">
      <c r="A91" s="49"/>
      <c r="C91" s="52"/>
      <c r="I91" s="49"/>
      <c r="AMJ91"/>
    </row>
    <row r="92" spans="1:1024" s="35" customFormat="1" ht="12" customHeight="1" x14ac:dyDescent="0.2">
      <c r="A92" s="49"/>
      <c r="C92" s="52"/>
      <c r="I92" s="49"/>
      <c r="AMJ92"/>
    </row>
    <row r="93" spans="1:1024" s="35" customFormat="1" ht="12" customHeight="1" x14ac:dyDescent="0.2">
      <c r="A93" s="49"/>
      <c r="B93" s="49"/>
      <c r="C93" s="76"/>
      <c r="D93" s="49"/>
      <c r="E93" s="49"/>
      <c r="F93" s="49"/>
      <c r="G93" s="49"/>
      <c r="H93" s="49"/>
      <c r="I93" s="49"/>
      <c r="AMJ93"/>
    </row>
    <row r="94" spans="1:1024" s="35" customFormat="1" ht="12" customHeight="1" x14ac:dyDescent="0.2">
      <c r="A94" s="49"/>
      <c r="B94" s="49"/>
      <c r="C94" s="76"/>
      <c r="D94" s="49"/>
      <c r="E94" s="49"/>
      <c r="F94" s="49"/>
      <c r="G94" s="49"/>
      <c r="H94" s="49"/>
      <c r="I94" s="49"/>
      <c r="AMJ94"/>
    </row>
    <row r="95" spans="1:1024" s="35" customFormat="1" ht="12" customHeight="1" x14ac:dyDescent="0.2">
      <c r="A95" s="49"/>
      <c r="B95" s="49"/>
      <c r="C95" s="76"/>
      <c r="D95" s="49"/>
      <c r="E95" s="49"/>
      <c r="F95" s="49"/>
      <c r="G95" s="49"/>
      <c r="H95" s="49"/>
      <c r="I95" s="49"/>
      <c r="AMJ95"/>
    </row>
    <row r="96" spans="1:1024" s="35" customFormat="1" ht="12" customHeight="1" x14ac:dyDescent="0.2">
      <c r="A96" s="49"/>
      <c r="B96" s="49"/>
      <c r="C96" s="76"/>
      <c r="D96" s="49"/>
      <c r="E96" s="49"/>
      <c r="F96" s="49"/>
      <c r="G96" s="49"/>
      <c r="H96" s="49"/>
      <c r="I96" s="49"/>
      <c r="AMJ96"/>
    </row>
    <row r="97" spans="1:1024" s="35" customFormat="1" ht="12" customHeight="1" x14ac:dyDescent="0.2">
      <c r="A97" s="49"/>
      <c r="B97" s="49"/>
      <c r="C97" s="76"/>
      <c r="D97" s="49"/>
      <c r="E97" s="49"/>
      <c r="F97" s="49"/>
      <c r="G97" s="49"/>
      <c r="H97" s="49"/>
      <c r="I97" s="49"/>
      <c r="AMJ97"/>
    </row>
    <row r="98" spans="1:1024" s="35" customFormat="1" ht="12" customHeight="1" x14ac:dyDescent="0.2">
      <c r="A98" s="49"/>
      <c r="B98" s="49"/>
      <c r="C98" s="76"/>
      <c r="D98" s="49"/>
      <c r="E98" s="49"/>
      <c r="F98" s="49"/>
      <c r="G98" s="49"/>
      <c r="H98" s="49"/>
      <c r="I98" s="49"/>
      <c r="AMJ98"/>
    </row>
    <row r="99" spans="1:1024" s="35" customFormat="1" ht="12" customHeight="1" x14ac:dyDescent="0.2">
      <c r="A99" s="49"/>
      <c r="B99" s="49"/>
      <c r="C99" s="76"/>
      <c r="D99" s="49"/>
      <c r="E99" s="49"/>
      <c r="F99" s="49"/>
      <c r="G99" s="49"/>
      <c r="H99" s="49"/>
      <c r="I99" s="49"/>
      <c r="AMJ99"/>
    </row>
  </sheetData>
  <mergeCells count="41">
    <mergeCell ref="B57:B63"/>
    <mergeCell ref="B23:B26"/>
    <mergeCell ref="B28:B37"/>
    <mergeCell ref="B39:B47"/>
    <mergeCell ref="B49:B55"/>
    <mergeCell ref="E19:F19"/>
    <mergeCell ref="G19:H19"/>
    <mergeCell ref="E20:F20"/>
    <mergeCell ref="G20:H20"/>
    <mergeCell ref="E16:F16"/>
    <mergeCell ref="G16:H16"/>
    <mergeCell ref="E17:F17"/>
    <mergeCell ref="G17:H17"/>
    <mergeCell ref="E18:F18"/>
    <mergeCell ref="G18:H18"/>
    <mergeCell ref="A9:B20"/>
    <mergeCell ref="C9:C20"/>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A1:B8"/>
    <mergeCell ref="C1:C8"/>
    <mergeCell ref="E1:H1"/>
    <mergeCell ref="E2:H2"/>
    <mergeCell ref="E3:H3"/>
    <mergeCell ref="E4:H4"/>
    <mergeCell ref="E5:H5"/>
    <mergeCell ref="E6:H6"/>
    <mergeCell ref="E7:H7"/>
    <mergeCell ref="E8:H8"/>
  </mergeCells>
  <conditionalFormatting sqref="D2:O9 D20:O22 G10:O14 E15:O19 F23:O26 G57:G63 G49:G55 F39:H47 G28:G37">
    <cfRule type="cellIs" dxfId="166" priority="132" operator="equal">
      <formula>"not available"</formula>
    </cfRule>
    <cfRule type="cellIs" dxfId="165" priority="133" operator="equal">
      <formula>"not tested"</formula>
    </cfRule>
    <cfRule type="cellIs" dxfId="164" priority="134" operator="equal">
      <formula>"not implemented"</formula>
    </cfRule>
    <cfRule type="cellIs" dxfId="163" priority="135" operator="equal">
      <formula>"failed"</formula>
    </cfRule>
    <cfRule type="cellIs" dxfId="162" priority="136" operator="equal">
      <formula>"passed"</formula>
    </cfRule>
    <cfRule type="cellIs" dxfId="161" priority="137" operator="equal">
      <formula>"not available"</formula>
    </cfRule>
    <cfRule type="cellIs" dxfId="160" priority="138" operator="equal">
      <formula>"not tested"</formula>
    </cfRule>
    <cfRule type="cellIs" dxfId="159" priority="139" operator="equal">
      <formula>"not implemented"</formula>
    </cfRule>
    <cfRule type="cellIs" dxfId="158" priority="140" operator="equal">
      <formula>"failed"</formula>
    </cfRule>
    <cfRule type="cellIs" dxfId="157" priority="141" operator="equal">
      <formula>"passed"</formula>
    </cfRule>
  </conditionalFormatting>
  <conditionalFormatting sqref="E10:F10">
    <cfRule type="cellIs" dxfId="156" priority="142" operator="equal">
      <formula>"not available"</formula>
    </cfRule>
    <cfRule type="cellIs" dxfId="155" priority="143" operator="equal">
      <formula>"not tested"</formula>
    </cfRule>
    <cfRule type="cellIs" dxfId="154" priority="144" operator="equal">
      <formula>"not implemented"</formula>
    </cfRule>
    <cfRule type="cellIs" dxfId="153" priority="145" operator="equal">
      <formula>"failed"</formula>
    </cfRule>
    <cfRule type="cellIs" dxfId="152" priority="146" operator="equal">
      <formula>"passed"</formula>
    </cfRule>
    <cfRule type="cellIs" dxfId="151" priority="147" operator="equal">
      <formula>"not available"</formula>
    </cfRule>
    <cfRule type="cellIs" dxfId="150" priority="148" operator="equal">
      <formula>"not tested"</formula>
    </cfRule>
    <cfRule type="cellIs" dxfId="149" priority="149" operator="equal">
      <formula>"not implemented"</formula>
    </cfRule>
    <cfRule type="cellIs" dxfId="148" priority="150" operator="equal">
      <formula>"failed"</formula>
    </cfRule>
    <cfRule type="cellIs" dxfId="147" priority="151" operator="equal">
      <formula>"passed"</formula>
    </cfRule>
  </conditionalFormatting>
  <conditionalFormatting sqref="E11:F11">
    <cfRule type="cellIs" dxfId="146" priority="152" operator="equal">
      <formula>"not available"</formula>
    </cfRule>
    <cfRule type="cellIs" dxfId="145" priority="153" operator="equal">
      <formula>"not tested"</formula>
    </cfRule>
    <cfRule type="cellIs" dxfId="144" priority="154" operator="equal">
      <formula>"not implemented"</formula>
    </cfRule>
    <cfRule type="cellIs" dxfId="143" priority="155" operator="equal">
      <formula>"failed"</formula>
    </cfRule>
    <cfRule type="cellIs" dxfId="142" priority="156" operator="equal">
      <formula>"passed"</formula>
    </cfRule>
    <cfRule type="cellIs" dxfId="141" priority="157" operator="equal">
      <formula>"not available"</formula>
    </cfRule>
    <cfRule type="cellIs" dxfId="140" priority="158" operator="equal">
      <formula>"not tested"</formula>
    </cfRule>
    <cfRule type="cellIs" dxfId="139" priority="159" operator="equal">
      <formula>"not implemented"</formula>
    </cfRule>
    <cfRule type="cellIs" dxfId="138" priority="160" operator="equal">
      <formula>"failed"</formula>
    </cfRule>
    <cfRule type="cellIs" dxfId="137" priority="161" operator="equal">
      <formula>"passed"</formula>
    </cfRule>
  </conditionalFormatting>
  <conditionalFormatting sqref="E12:F12">
    <cfRule type="cellIs" dxfId="136" priority="162" operator="equal">
      <formula>"not available"</formula>
    </cfRule>
    <cfRule type="cellIs" dxfId="135" priority="163" operator="equal">
      <formula>"not tested"</formula>
    </cfRule>
    <cfRule type="cellIs" dxfId="134" priority="164" operator="equal">
      <formula>"not implemented"</formula>
    </cfRule>
    <cfRule type="cellIs" dxfId="133" priority="165" operator="equal">
      <formula>"failed"</formula>
    </cfRule>
    <cfRule type="cellIs" dxfId="132" priority="166" operator="equal">
      <formula>"passed"</formula>
    </cfRule>
    <cfRule type="cellIs" dxfId="131" priority="167" operator="equal">
      <formula>"not available"</formula>
    </cfRule>
    <cfRule type="cellIs" dxfId="130" priority="168" operator="equal">
      <formula>"not tested"</formula>
    </cfRule>
    <cfRule type="cellIs" dxfId="129" priority="169" operator="equal">
      <formula>"not implemented"</formula>
    </cfRule>
    <cfRule type="cellIs" dxfId="128" priority="170" operator="equal">
      <formula>"failed"</formula>
    </cfRule>
    <cfRule type="cellIs" dxfId="127" priority="171" operator="equal">
      <formula>"passed"</formula>
    </cfRule>
  </conditionalFormatting>
  <conditionalFormatting sqref="E13:F13">
    <cfRule type="cellIs" dxfId="126" priority="172" operator="equal">
      <formula>"not available"</formula>
    </cfRule>
    <cfRule type="cellIs" dxfId="125" priority="173" operator="equal">
      <formula>"not tested"</formula>
    </cfRule>
    <cfRule type="cellIs" dxfId="124" priority="174" operator="equal">
      <formula>"not implemented"</formula>
    </cfRule>
    <cfRule type="cellIs" dxfId="123" priority="175" operator="equal">
      <formula>"failed"</formula>
    </cfRule>
    <cfRule type="cellIs" dxfId="122" priority="176" operator="equal">
      <formula>"passed"</formula>
    </cfRule>
    <cfRule type="cellIs" dxfId="121" priority="177" operator="equal">
      <formula>"not available"</formula>
    </cfRule>
    <cfRule type="cellIs" dxfId="120" priority="178" operator="equal">
      <formula>"not tested"</formula>
    </cfRule>
    <cfRule type="cellIs" dxfId="119" priority="179" operator="equal">
      <formula>"not implemented"</formula>
    </cfRule>
    <cfRule type="cellIs" dxfId="118" priority="180" operator="equal">
      <formula>"failed"</formula>
    </cfRule>
    <cfRule type="cellIs" dxfId="117" priority="181" operator="equal">
      <formula>"passed"</formula>
    </cfRule>
  </conditionalFormatting>
  <conditionalFormatting sqref="E14:F14">
    <cfRule type="cellIs" dxfId="116" priority="182" operator="equal">
      <formula>"not available"</formula>
    </cfRule>
    <cfRule type="cellIs" dxfId="115" priority="183" operator="equal">
      <formula>"not tested"</formula>
    </cfRule>
    <cfRule type="cellIs" dxfId="114" priority="184" operator="equal">
      <formula>"not implemented"</formula>
    </cfRule>
    <cfRule type="cellIs" dxfId="113" priority="185" operator="equal">
      <formula>"failed"</formula>
    </cfRule>
    <cfRule type="cellIs" dxfId="112" priority="186" operator="equal">
      <formula>"passed"</formula>
    </cfRule>
    <cfRule type="cellIs" dxfId="111" priority="187" operator="equal">
      <formula>"not available"</formula>
    </cfRule>
    <cfRule type="cellIs" dxfId="110" priority="188" operator="equal">
      <formula>"not tested"</formula>
    </cfRule>
    <cfRule type="cellIs" dxfId="109" priority="189" operator="equal">
      <formula>"not implemented"</formula>
    </cfRule>
    <cfRule type="cellIs" dxfId="108" priority="190" operator="equal">
      <formula>"failed"</formula>
    </cfRule>
    <cfRule type="cellIs" dxfId="107" priority="191" operator="equal">
      <formula>"passed"</formula>
    </cfRule>
  </conditionalFormatting>
  <conditionalFormatting sqref="D10:D19 E23:E26 E28:E37 E39:E47 E57:E63">
    <cfRule type="cellIs" dxfId="106" priority="192" operator="equal">
      <formula>"Minor"</formula>
    </cfRule>
    <cfRule type="cellIs" dxfId="105" priority="193" operator="equal">
      <formula>"Not implemented"</formula>
    </cfRule>
    <cfRule type="cellIs" dxfId="104" priority="194" operator="equal">
      <formula>"Not tested"</formula>
    </cfRule>
    <cfRule type="cellIs" dxfId="103" priority="195" operator="equal">
      <formula>"Not available"</formula>
    </cfRule>
    <cfRule type="cellIs" dxfId="102" priority="196" operator="equal">
      <formula>"Critical"</formula>
    </cfRule>
    <cfRule type="cellIs" dxfId="101" priority="197" operator="equal">
      <formula>"Major"</formula>
    </cfRule>
    <cfRule type="cellIs" dxfId="100" priority="198" operator="equal">
      <formula>"Average"</formula>
    </cfRule>
    <cfRule type="cellIs" dxfId="99" priority="199" operator="equal">
      <formula>"OK"</formula>
    </cfRule>
    <cfRule type="cellIs" dxfId="98" priority="200" operator="equal">
      <formula>"Enhancement"</formula>
    </cfRule>
    <cfRule type="cellIs" dxfId="97" priority="201" operator="equal">
      <formula>"Partially tested"</formula>
    </cfRule>
  </conditionalFormatting>
  <conditionalFormatting sqref="D27:F27 F28:F37 H27:H37">
    <cfRule type="cellIs" dxfId="96" priority="111" operator="equal">
      <formula>"not available"</formula>
    </cfRule>
    <cfRule type="cellIs" dxfId="95" priority="112" operator="equal">
      <formula>"not tested"</formula>
    </cfRule>
    <cfRule type="cellIs" dxfId="94" priority="113" operator="equal">
      <formula>"not implemented"</formula>
    </cfRule>
    <cfRule type="cellIs" dxfId="93" priority="114" operator="equal">
      <formula>"failed"</formula>
    </cfRule>
    <cfRule type="cellIs" dxfId="92" priority="115" operator="equal">
      <formula>"passed"</formula>
    </cfRule>
    <cfRule type="cellIs" dxfId="91" priority="116" operator="equal">
      <formula>"not available"</formula>
    </cfRule>
    <cfRule type="cellIs" dxfId="90" priority="117" operator="equal">
      <formula>"not tested"</formula>
    </cfRule>
    <cfRule type="cellIs" dxfId="89" priority="118" operator="equal">
      <formula>"not implemented"</formula>
    </cfRule>
    <cfRule type="cellIs" dxfId="88" priority="119" operator="equal">
      <formula>"failed"</formula>
    </cfRule>
    <cfRule type="cellIs" dxfId="87" priority="120" operator="equal">
      <formula>"passed"</formula>
    </cfRule>
  </conditionalFormatting>
  <conditionalFormatting sqref="D38:F38 H38">
    <cfRule type="cellIs" dxfId="86" priority="81" operator="equal">
      <formula>"not available"</formula>
    </cfRule>
    <cfRule type="cellIs" dxfId="85" priority="82" operator="equal">
      <formula>"not tested"</formula>
    </cfRule>
    <cfRule type="cellIs" dxfId="84" priority="83" operator="equal">
      <formula>"not implemented"</formula>
    </cfRule>
    <cfRule type="cellIs" dxfId="83" priority="84" operator="equal">
      <formula>"failed"</formula>
    </cfRule>
    <cfRule type="cellIs" dxfId="82" priority="85" operator="equal">
      <formula>"passed"</formula>
    </cfRule>
    <cfRule type="cellIs" dxfId="81" priority="86" operator="equal">
      <formula>"not available"</formula>
    </cfRule>
    <cfRule type="cellIs" dxfId="80" priority="87" operator="equal">
      <formula>"not tested"</formula>
    </cfRule>
    <cfRule type="cellIs" dxfId="79" priority="88" operator="equal">
      <formula>"not implemented"</formula>
    </cfRule>
    <cfRule type="cellIs" dxfId="78" priority="89" operator="equal">
      <formula>"failed"</formula>
    </cfRule>
    <cfRule type="cellIs" dxfId="77" priority="90" operator="equal">
      <formula>"passed"</formula>
    </cfRule>
  </conditionalFormatting>
  <conditionalFormatting sqref="D48:F48 F49:F55 H48:H55">
    <cfRule type="cellIs" dxfId="76" priority="61" operator="equal">
      <formula>"not available"</formula>
    </cfRule>
    <cfRule type="cellIs" dxfId="75" priority="62" operator="equal">
      <formula>"not tested"</formula>
    </cfRule>
    <cfRule type="cellIs" dxfId="74" priority="63" operator="equal">
      <formula>"not implemented"</formula>
    </cfRule>
    <cfRule type="cellIs" dxfId="73" priority="64" operator="equal">
      <formula>"failed"</formula>
    </cfRule>
    <cfRule type="cellIs" dxfId="72" priority="65" operator="equal">
      <formula>"passed"</formula>
    </cfRule>
    <cfRule type="cellIs" dxfId="71" priority="66" operator="equal">
      <formula>"not available"</formula>
    </cfRule>
    <cfRule type="cellIs" dxfId="70" priority="67" operator="equal">
      <formula>"not tested"</formula>
    </cfRule>
    <cfRule type="cellIs" dxfId="69" priority="68" operator="equal">
      <formula>"not implemented"</formula>
    </cfRule>
    <cfRule type="cellIs" dxfId="68" priority="69" operator="equal">
      <formula>"failed"</formula>
    </cfRule>
    <cfRule type="cellIs" dxfId="67" priority="70" operator="equal">
      <formula>"passed"</formula>
    </cfRule>
  </conditionalFormatting>
  <conditionalFormatting sqref="E49:E55">
    <cfRule type="cellIs" dxfId="66" priority="71" operator="equal">
      <formula>"Minor"</formula>
    </cfRule>
    <cfRule type="cellIs" dxfId="65" priority="72" operator="equal">
      <formula>"Not implemented"</formula>
    </cfRule>
    <cfRule type="cellIs" dxfId="64" priority="73" operator="equal">
      <formula>"Not tested"</formula>
    </cfRule>
    <cfRule type="cellIs" dxfId="63" priority="74" operator="equal">
      <formula>"Not available"</formula>
    </cfRule>
    <cfRule type="cellIs" dxfId="62" priority="75" operator="equal">
      <formula>"Critical"</formula>
    </cfRule>
    <cfRule type="cellIs" dxfId="61" priority="76" operator="equal">
      <formula>"Major"</formula>
    </cfRule>
    <cfRule type="cellIs" dxfId="60" priority="77" operator="equal">
      <formula>"Average"</formula>
    </cfRule>
    <cfRule type="cellIs" dxfId="59" priority="78" operator="equal">
      <formula>"OK"</formula>
    </cfRule>
    <cfRule type="cellIs" dxfId="58" priority="79" operator="equal">
      <formula>"Enhancement"</formula>
    </cfRule>
    <cfRule type="cellIs" dxfId="57" priority="80" operator="equal">
      <formula>"Partially tested"</formula>
    </cfRule>
  </conditionalFormatting>
  <conditionalFormatting sqref="D56:F56 F57:F63 H56:H63">
    <cfRule type="cellIs" dxfId="56" priority="41" operator="equal">
      <formula>"not available"</formula>
    </cfRule>
    <cfRule type="cellIs" dxfId="55" priority="42" operator="equal">
      <formula>"not tested"</formula>
    </cfRule>
    <cfRule type="cellIs" dxfId="54" priority="43" operator="equal">
      <formula>"not implemented"</formula>
    </cfRule>
    <cfRule type="cellIs" dxfId="53" priority="44" operator="equal">
      <formula>"failed"</formula>
    </cfRule>
    <cfRule type="cellIs" dxfId="52" priority="45" operator="equal">
      <formula>"passed"</formula>
    </cfRule>
    <cfRule type="cellIs" dxfId="51" priority="46" operator="equal">
      <formula>"not available"</formula>
    </cfRule>
    <cfRule type="cellIs" dxfId="50" priority="47" operator="equal">
      <formula>"not tested"</formula>
    </cfRule>
    <cfRule type="cellIs" dxfId="49" priority="48" operator="equal">
      <formula>"not implemented"</formula>
    </cfRule>
    <cfRule type="cellIs" dxfId="48" priority="49" operator="equal">
      <formula>"failed"</formula>
    </cfRule>
    <cfRule type="cellIs" dxfId="47" priority="50" operator="equal">
      <formula>"passed"</formula>
    </cfRule>
  </conditionalFormatting>
  <conditionalFormatting sqref="G56">
    <cfRule type="cellIs" dxfId="39" priority="31" operator="equal">
      <formula>"not available"</formula>
    </cfRule>
    <cfRule type="cellIs" dxfId="38" priority="32" operator="equal">
      <formula>"not tested"</formula>
    </cfRule>
    <cfRule type="cellIs" dxfId="37" priority="33" operator="equal">
      <formula>"not implemented"</formula>
    </cfRule>
    <cfRule type="cellIs" dxfId="36" priority="34" operator="equal">
      <formula>"failed"</formula>
    </cfRule>
    <cfRule type="cellIs" dxfId="35" priority="35" operator="equal">
      <formula>"passed"</formula>
    </cfRule>
    <cfRule type="cellIs" dxfId="34" priority="36" operator="equal">
      <formula>"not available"</formula>
    </cfRule>
    <cfRule type="cellIs" dxfId="33" priority="37" operator="equal">
      <formula>"not tested"</formula>
    </cfRule>
    <cfRule type="cellIs" dxfId="32" priority="38" operator="equal">
      <formula>"not implemented"</formula>
    </cfRule>
    <cfRule type="cellIs" dxfId="31" priority="39" operator="equal">
      <formula>"failed"</formula>
    </cfRule>
    <cfRule type="cellIs" dxfId="30" priority="40" operator="equal">
      <formula>"passed"</formula>
    </cfRule>
  </conditionalFormatting>
  <conditionalFormatting sqref="G48">
    <cfRule type="cellIs" dxfId="29" priority="21" operator="equal">
      <formula>"not available"</formula>
    </cfRule>
    <cfRule type="cellIs" dxfId="28" priority="22" operator="equal">
      <formula>"not tested"</formula>
    </cfRule>
    <cfRule type="cellIs" dxfId="27" priority="23" operator="equal">
      <formula>"not implemented"</formula>
    </cfRule>
    <cfRule type="cellIs" dxfId="26" priority="24" operator="equal">
      <formula>"failed"</formula>
    </cfRule>
    <cfRule type="cellIs" dxfId="25" priority="25" operator="equal">
      <formula>"passed"</formula>
    </cfRule>
    <cfRule type="cellIs" dxfId="24" priority="26" operator="equal">
      <formula>"not available"</formula>
    </cfRule>
    <cfRule type="cellIs" dxfId="23" priority="27" operator="equal">
      <formula>"not tested"</formula>
    </cfRule>
    <cfRule type="cellIs" dxfId="22" priority="28" operator="equal">
      <formula>"not implemented"</formula>
    </cfRule>
    <cfRule type="cellIs" dxfId="21" priority="29" operator="equal">
      <formula>"failed"</formula>
    </cfRule>
    <cfRule type="cellIs" dxfId="20" priority="30" operator="equal">
      <formula>"passed"</formula>
    </cfRule>
  </conditionalFormatting>
  <conditionalFormatting sqref="G38">
    <cfRule type="cellIs" dxfId="19" priority="11" operator="equal">
      <formula>"not available"</formula>
    </cfRule>
    <cfRule type="cellIs" dxfId="18" priority="12" operator="equal">
      <formula>"not tested"</formula>
    </cfRule>
    <cfRule type="cellIs" dxfId="17" priority="13" operator="equal">
      <formula>"not implemented"</formula>
    </cfRule>
    <cfRule type="cellIs" dxfId="16" priority="14" operator="equal">
      <formula>"failed"</formula>
    </cfRule>
    <cfRule type="cellIs" dxfId="15" priority="15" operator="equal">
      <formula>"passed"</formula>
    </cfRule>
    <cfRule type="cellIs" dxfId="14" priority="16" operator="equal">
      <formula>"not available"</formula>
    </cfRule>
    <cfRule type="cellIs" dxfId="13" priority="17" operator="equal">
      <formula>"not tested"</formula>
    </cfRule>
    <cfRule type="cellIs" dxfId="12" priority="18" operator="equal">
      <formula>"not implemented"</formula>
    </cfRule>
    <cfRule type="cellIs" dxfId="11" priority="19" operator="equal">
      <formula>"failed"</formula>
    </cfRule>
    <cfRule type="cellIs" dxfId="10" priority="20" operator="equal">
      <formula>"passed"</formula>
    </cfRule>
  </conditionalFormatting>
  <conditionalFormatting sqref="G27">
    <cfRule type="cellIs" dxfId="9" priority="1" operator="equal">
      <formula>"not available"</formula>
    </cfRule>
    <cfRule type="cellIs" dxfId="8" priority="2" operator="equal">
      <formula>"not tested"</formula>
    </cfRule>
    <cfRule type="cellIs" dxfId="7" priority="3" operator="equal">
      <formula>"not implemented"</formula>
    </cfRule>
    <cfRule type="cellIs" dxfId="6" priority="4" operator="equal">
      <formula>"failed"</formula>
    </cfRule>
    <cfRule type="cellIs" dxfId="5" priority="5" operator="equal">
      <formula>"passed"</formula>
    </cfRule>
    <cfRule type="cellIs" dxfId="4" priority="6" operator="equal">
      <formula>"not available"</formula>
    </cfRule>
    <cfRule type="cellIs" dxfId="3" priority="7" operator="equal">
      <formula>"not tested"</formula>
    </cfRule>
    <cfRule type="cellIs" dxfId="2" priority="8" operator="equal">
      <formula>"not implemented"</formula>
    </cfRule>
    <cfRule type="cellIs" dxfId="1" priority="9" operator="equal">
      <formula>"failed"</formula>
    </cfRule>
    <cfRule type="cellIs" dxfId="0" priority="10" operator="equal">
      <formula>"passed"</formula>
    </cfRule>
  </conditionalFormatting>
  <dataValidations count="7">
    <dataValidation type="list" allowBlank="1" showInputMessage="1" showErrorMessage="1" sqref="E2:H2" xr:uid="{00000000-0002-0000-0200-000000000000}">
      <formula1>Test_types</formula1>
      <formula2>0</formula2>
    </dataValidation>
    <dataValidation type="list" allowBlank="1" showInputMessage="1" showErrorMessage="1" sqref="E7:H7" xr:uid="{00000000-0002-0000-0200-000001000000}">
      <formula1>Browser_list</formula1>
      <formula2>0</formula2>
    </dataValidation>
    <dataValidation type="list" allowBlank="1" showInputMessage="1" showErrorMessage="1" sqref="A49:A55 A23:A26 A28:A37 A39:A47 A57:A63" xr:uid="{00000000-0002-0000-0200-000002000000}">
      <formula1>Test_coverage</formula1>
      <formula2>0</formula2>
    </dataValidation>
    <dataValidation type="list" allowBlank="1" showInputMessage="1" showErrorMessage="1" sqref="E4:H4" xr:uid="{00000000-0002-0000-0200-000003000000}">
      <formula1>Test_Team</formula1>
      <formula2>0</formula2>
    </dataValidation>
    <dataValidation type="list" allowBlank="1" showInputMessage="1" showErrorMessage="1" sqref="E5:H5" xr:uid="{00000000-0002-0000-0200-000004000000}">
      <formula1>Project_URL</formula1>
      <formula2>0</formula2>
    </dataValidation>
    <dataValidation type="list" allowBlank="1" showInputMessage="1" showErrorMessage="1" sqref="E6:H6" xr:uid="{00000000-0002-0000-0200-000005000000}">
      <formula1>Environment_OS</formula1>
      <formula2>0</formula2>
    </dataValidation>
    <dataValidation type="list" allowBlank="1" showInputMessage="1" showErrorMessage="1" sqref="E23:E26 E49:E55 E28:E37 E39:E47 E57:E63" xr:uid="{00000000-0002-0000-0200-000006000000}">
      <formula1>$D$10:$D$20</formula1>
    </dataValidation>
  </dataValidations>
  <pageMargins left="0.7" right="0.7" top="0.75" bottom="0.75" header="0.51180555555555496" footer="0.51180555555555496"/>
  <pageSetup paperSize="9" firstPageNumber="0"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8"/>
  <sheetViews>
    <sheetView zoomScale="130" zoomScaleNormal="130" workbookViewId="0">
      <selection activeCell="B12" sqref="B12"/>
    </sheetView>
  </sheetViews>
  <sheetFormatPr defaultRowHeight="12.75" x14ac:dyDescent="0.2"/>
  <cols>
    <col min="1" max="1" width="16.7109375" style="35" customWidth="1"/>
    <col min="2" max="2" width="19.85546875" style="35" customWidth="1"/>
    <col min="3" max="3" width="15.7109375" style="35" customWidth="1"/>
    <col min="4" max="5" width="20.7109375" style="35" customWidth="1"/>
    <col min="6" max="6" width="15.7109375" style="35" customWidth="1"/>
    <col min="7" max="7" width="9.140625" style="35" customWidth="1"/>
    <col min="8" max="8" width="19.140625" style="35" customWidth="1"/>
    <col min="9" max="9" width="10.140625" style="35" customWidth="1"/>
    <col min="10" max="10" width="20.85546875" style="35" customWidth="1"/>
    <col min="11" max="11" width="27" style="35" customWidth="1"/>
    <col min="12" max="1025" width="9.140625" style="35" customWidth="1"/>
  </cols>
  <sheetData>
    <row r="1" spans="1:11" s="18" customFormat="1" ht="49.15" customHeight="1" x14ac:dyDescent="0.2">
      <c r="A1" s="16" t="s">
        <v>0</v>
      </c>
      <c r="B1" s="17"/>
      <c r="C1" s="17"/>
      <c r="D1" s="17"/>
      <c r="E1" s="17"/>
      <c r="F1" s="17"/>
      <c r="J1" s="19"/>
    </row>
    <row r="2" spans="1:11" s="83" customFormat="1" ht="12" customHeight="1" x14ac:dyDescent="0.2">
      <c r="A2" s="87" t="s">
        <v>178</v>
      </c>
      <c r="B2" s="88" t="s">
        <v>179</v>
      </c>
      <c r="C2" s="124" t="s">
        <v>42</v>
      </c>
      <c r="D2" s="124"/>
      <c r="E2" s="124"/>
      <c r="F2" s="124"/>
      <c r="H2" s="89" t="s">
        <v>180</v>
      </c>
      <c r="J2" s="89" t="s">
        <v>159</v>
      </c>
      <c r="K2" s="89" t="s">
        <v>181</v>
      </c>
    </row>
    <row r="3" spans="1:11" ht="12" customHeight="1" x14ac:dyDescent="0.2">
      <c r="A3" s="125" t="s">
        <v>182</v>
      </c>
      <c r="B3" s="90" t="s">
        <v>141</v>
      </c>
      <c r="C3" s="126"/>
      <c r="D3" s="126"/>
      <c r="E3" s="126"/>
      <c r="F3" s="126"/>
      <c r="H3" s="91" t="s">
        <v>140</v>
      </c>
      <c r="J3" s="91" t="s">
        <v>183</v>
      </c>
      <c r="K3" s="92" t="s">
        <v>160</v>
      </c>
    </row>
    <row r="4" spans="1:11" ht="12" customHeight="1" x14ac:dyDescent="0.2">
      <c r="A4" s="125"/>
      <c r="B4" s="93" t="s">
        <v>142</v>
      </c>
      <c r="C4" s="126"/>
      <c r="D4" s="126"/>
      <c r="E4" s="126" t="s">
        <v>184</v>
      </c>
      <c r="F4" s="126"/>
      <c r="H4" s="94"/>
      <c r="J4" s="94" t="s">
        <v>185</v>
      </c>
      <c r="K4" s="95" t="s">
        <v>186</v>
      </c>
    </row>
    <row r="5" spans="1:11" ht="12" customHeight="1" x14ac:dyDescent="0.2">
      <c r="A5" s="125"/>
      <c r="B5" s="96" t="s">
        <v>187</v>
      </c>
      <c r="C5" s="126"/>
      <c r="D5" s="126"/>
      <c r="E5" s="126"/>
      <c r="F5" s="126"/>
      <c r="H5" s="94"/>
      <c r="J5" s="94" t="s">
        <v>188</v>
      </c>
      <c r="K5" s="95" t="s">
        <v>189</v>
      </c>
    </row>
    <row r="6" spans="1:11" ht="12" customHeight="1" x14ac:dyDescent="0.2">
      <c r="A6" s="125"/>
      <c r="B6" s="96" t="s">
        <v>162</v>
      </c>
      <c r="C6" s="126"/>
      <c r="D6" s="126"/>
      <c r="E6" s="126"/>
      <c r="F6" s="126"/>
      <c r="H6" s="94"/>
      <c r="J6" s="94" t="s">
        <v>190</v>
      </c>
      <c r="K6" s="95" t="s">
        <v>191</v>
      </c>
    </row>
    <row r="7" spans="1:11" ht="12" customHeight="1" x14ac:dyDescent="0.2">
      <c r="A7" s="125"/>
      <c r="B7" s="96" t="s">
        <v>192</v>
      </c>
      <c r="C7" s="126"/>
      <c r="D7" s="126"/>
      <c r="E7" s="126"/>
      <c r="F7" s="126"/>
      <c r="H7" s="94"/>
      <c r="J7" s="94"/>
      <c r="K7" s="94"/>
    </row>
    <row r="8" spans="1:11" ht="12" customHeight="1" x14ac:dyDescent="0.2">
      <c r="A8" s="125"/>
      <c r="B8" s="96" t="s">
        <v>193</v>
      </c>
      <c r="C8" s="126"/>
      <c r="D8" s="126"/>
      <c r="E8" s="126"/>
      <c r="F8" s="126"/>
      <c r="H8" s="94"/>
      <c r="J8" s="94"/>
      <c r="K8" s="94"/>
    </row>
    <row r="9" spans="1:11" ht="12" customHeight="1" x14ac:dyDescent="0.2">
      <c r="A9" s="125"/>
      <c r="B9" s="96" t="s">
        <v>143</v>
      </c>
      <c r="C9" s="126"/>
      <c r="D9" s="126"/>
      <c r="E9" s="126"/>
      <c r="F9" s="126"/>
      <c r="H9" s="94"/>
      <c r="J9" s="94"/>
      <c r="K9" s="94"/>
    </row>
    <row r="10" spans="1:11" ht="12" customHeight="1" x14ac:dyDescent="0.2">
      <c r="A10" s="125"/>
      <c r="B10" s="93"/>
      <c r="C10" s="126" t="s">
        <v>194</v>
      </c>
      <c r="D10" s="126"/>
      <c r="E10" s="126"/>
      <c r="F10" s="126"/>
      <c r="H10" s="94"/>
      <c r="J10" s="94"/>
      <c r="K10" s="94"/>
    </row>
    <row r="11" spans="1:11" ht="12" customHeight="1" x14ac:dyDescent="0.2">
      <c r="A11" s="125"/>
      <c r="B11" s="93"/>
      <c r="C11" s="126" t="s">
        <v>194</v>
      </c>
      <c r="D11" s="126"/>
      <c r="E11" s="126"/>
      <c r="F11" s="126"/>
      <c r="H11" s="94"/>
      <c r="J11" s="94"/>
      <c r="K11" s="94"/>
    </row>
    <row r="12" spans="1:11" ht="12" customHeight="1" x14ac:dyDescent="0.2">
      <c r="A12" s="127" t="s">
        <v>30</v>
      </c>
      <c r="B12" s="97" t="s">
        <v>147</v>
      </c>
      <c r="C12" s="128" t="s">
        <v>195</v>
      </c>
      <c r="D12" s="128"/>
      <c r="E12" s="128"/>
      <c r="F12" s="128"/>
      <c r="H12" s="98"/>
      <c r="J12" s="98"/>
      <c r="K12" s="98"/>
    </row>
    <row r="13" spans="1:11" ht="12" customHeight="1" x14ac:dyDescent="0.2">
      <c r="A13" s="127"/>
      <c r="B13" s="96" t="s">
        <v>144</v>
      </c>
      <c r="C13" s="129"/>
      <c r="D13" s="129"/>
      <c r="E13" s="129"/>
      <c r="F13" s="129"/>
      <c r="H13" s="98"/>
      <c r="J13" s="98"/>
      <c r="K13" s="98"/>
    </row>
    <row r="14" spans="1:11" ht="12" customHeight="1" x14ac:dyDescent="0.2">
      <c r="A14" s="127"/>
      <c r="B14" s="96" t="s">
        <v>196</v>
      </c>
      <c r="C14" s="130"/>
      <c r="D14" s="130"/>
      <c r="E14" s="130" t="s">
        <v>184</v>
      </c>
      <c r="F14" s="130"/>
      <c r="H14" s="98"/>
      <c r="J14" s="98"/>
      <c r="K14" s="98"/>
    </row>
    <row r="15" spans="1:11" ht="12" customHeight="1" x14ac:dyDescent="0.2">
      <c r="A15" s="127"/>
      <c r="B15" s="96" t="s">
        <v>197</v>
      </c>
      <c r="C15" s="130"/>
      <c r="D15" s="130"/>
      <c r="E15" s="130"/>
      <c r="F15" s="130"/>
      <c r="H15" s="98"/>
      <c r="J15" s="98"/>
      <c r="K15" s="98"/>
    </row>
    <row r="16" spans="1:11" ht="12" customHeight="1" x14ac:dyDescent="0.2">
      <c r="A16" s="127"/>
      <c r="B16" s="96" t="s">
        <v>146</v>
      </c>
      <c r="C16" s="130"/>
      <c r="D16" s="130"/>
      <c r="E16" s="130"/>
      <c r="F16" s="130"/>
      <c r="H16" s="98"/>
      <c r="J16" s="98"/>
      <c r="K16" s="98"/>
    </row>
    <row r="17" spans="1:11" ht="12" customHeight="1" x14ac:dyDescent="0.2">
      <c r="A17" s="127"/>
      <c r="B17" s="96" t="s">
        <v>198</v>
      </c>
      <c r="C17" s="130"/>
      <c r="D17" s="130"/>
      <c r="E17" s="130"/>
      <c r="F17" s="130"/>
      <c r="H17" s="94"/>
      <c r="J17" s="94"/>
      <c r="K17" s="94"/>
    </row>
    <row r="18" spans="1:11" ht="12" customHeight="1" x14ac:dyDescent="0.2">
      <c r="A18" s="127"/>
      <c r="B18" s="96" t="s">
        <v>145</v>
      </c>
      <c r="C18" s="130"/>
      <c r="D18" s="130"/>
      <c r="E18" s="130"/>
      <c r="F18" s="130"/>
      <c r="H18" s="94"/>
      <c r="J18" s="94"/>
      <c r="K18" s="94"/>
    </row>
    <row r="19" spans="1:11" ht="12" customHeight="1" x14ac:dyDescent="0.2">
      <c r="A19" s="127"/>
      <c r="B19" s="96" t="s">
        <v>199</v>
      </c>
      <c r="C19" s="130"/>
      <c r="D19" s="130"/>
      <c r="E19" s="130"/>
      <c r="F19" s="130"/>
      <c r="H19" s="94"/>
      <c r="J19" s="94"/>
      <c r="K19" s="94"/>
    </row>
    <row r="20" spans="1:11" ht="12" customHeight="1" x14ac:dyDescent="0.2">
      <c r="A20" s="127"/>
      <c r="B20" s="96" t="s">
        <v>200</v>
      </c>
      <c r="C20" s="130"/>
      <c r="D20" s="130"/>
      <c r="E20" s="130"/>
      <c r="F20" s="130"/>
      <c r="H20" s="94"/>
      <c r="J20" s="94"/>
      <c r="K20" s="94"/>
    </row>
    <row r="21" spans="1:11" ht="12" customHeight="1" x14ac:dyDescent="0.2">
      <c r="A21" s="127"/>
      <c r="B21" s="93"/>
      <c r="C21" s="130" t="s">
        <v>201</v>
      </c>
      <c r="D21" s="130"/>
      <c r="E21" s="130"/>
      <c r="F21" s="130"/>
      <c r="H21" s="94"/>
      <c r="J21" s="94"/>
      <c r="K21" s="94"/>
    </row>
    <row r="22" spans="1:11" ht="12" customHeight="1" x14ac:dyDescent="0.2">
      <c r="A22" s="127"/>
      <c r="B22" s="99"/>
      <c r="C22" s="131" t="s">
        <v>201</v>
      </c>
      <c r="D22" s="131"/>
      <c r="E22" s="131"/>
      <c r="F22" s="131"/>
      <c r="H22" s="94"/>
      <c r="J22" s="94"/>
      <c r="K22" s="94"/>
    </row>
    <row r="23" spans="1:11" ht="12" customHeight="1" x14ac:dyDescent="0.2">
      <c r="A23" s="132" t="s">
        <v>202</v>
      </c>
      <c r="B23" s="132"/>
      <c r="C23" s="132"/>
      <c r="D23" s="132"/>
      <c r="E23" s="132"/>
      <c r="F23" s="132"/>
      <c r="H23" s="94"/>
      <c r="J23" s="94"/>
      <c r="K23" s="94"/>
    </row>
    <row r="24" spans="1:11" ht="12" customHeight="1" x14ac:dyDescent="0.2">
      <c r="A24" s="133"/>
      <c r="B24" s="133"/>
      <c r="C24" s="133"/>
      <c r="D24" s="133"/>
      <c r="E24" s="133"/>
      <c r="F24" s="133"/>
      <c r="H24" s="100"/>
      <c r="J24" s="100"/>
      <c r="K24" s="100"/>
    </row>
    <row r="25" spans="1:11" ht="12" customHeight="1" x14ac:dyDescent="0.2">
      <c r="A25" s="101"/>
      <c r="B25" s="101"/>
      <c r="C25" s="101"/>
      <c r="D25" s="101"/>
      <c r="E25" s="101" t="s">
        <v>203</v>
      </c>
      <c r="F25" s="101"/>
    </row>
    <row r="26" spans="1:11" ht="12" customHeight="1" x14ac:dyDescent="0.2">
      <c r="A26" s="101"/>
      <c r="B26" s="101"/>
      <c r="C26" s="101"/>
      <c r="D26" s="101"/>
      <c r="E26" s="101"/>
      <c r="F26" s="101"/>
    </row>
    <row r="27" spans="1:11" ht="12" customHeight="1" x14ac:dyDescent="0.2">
      <c r="A27" s="134" t="s">
        <v>204</v>
      </c>
      <c r="B27" s="134"/>
      <c r="C27" s="102"/>
      <c r="D27" s="102"/>
      <c r="E27" s="102"/>
      <c r="F27" s="103"/>
    </row>
    <row r="28" spans="1:11" ht="12" customHeight="1" x14ac:dyDescent="0.2">
      <c r="A28" s="104" t="s">
        <v>205</v>
      </c>
      <c r="B28" s="105" t="s">
        <v>141</v>
      </c>
      <c r="C28" s="105"/>
      <c r="D28" s="105"/>
      <c r="E28" s="105"/>
      <c r="F28" s="106"/>
    </row>
    <row r="29" spans="1:11" ht="12" customHeight="1" x14ac:dyDescent="0.2">
      <c r="A29" s="104" t="s">
        <v>30</v>
      </c>
      <c r="B29" s="105" t="s">
        <v>144</v>
      </c>
      <c r="C29" s="105"/>
      <c r="D29" s="105"/>
      <c r="E29" s="105"/>
      <c r="F29" s="106"/>
    </row>
    <row r="30" spans="1:11" ht="12" customHeight="1" x14ac:dyDescent="0.2">
      <c r="A30" s="135" t="s">
        <v>206</v>
      </c>
      <c r="B30" s="135"/>
      <c r="C30" s="107"/>
      <c r="D30" s="107"/>
      <c r="E30" s="107"/>
      <c r="F30" s="108"/>
    </row>
    <row r="31" spans="1:11" ht="12" customHeight="1" x14ac:dyDescent="0.2">
      <c r="A31" s="109" t="s">
        <v>205</v>
      </c>
      <c r="B31" s="110" t="s">
        <v>30</v>
      </c>
      <c r="C31" s="110" t="s">
        <v>6</v>
      </c>
      <c r="D31" s="110" t="s">
        <v>166</v>
      </c>
      <c r="E31" s="110" t="s">
        <v>24</v>
      </c>
      <c r="F31" s="111" t="s">
        <v>34</v>
      </c>
    </row>
    <row r="32" spans="1:11" ht="12" customHeight="1" x14ac:dyDescent="0.2">
      <c r="A32" s="112" t="s">
        <v>193</v>
      </c>
      <c r="B32" s="113" t="s">
        <v>147</v>
      </c>
      <c r="C32" s="114" t="s">
        <v>207</v>
      </c>
      <c r="D32" s="113" t="s">
        <v>21</v>
      </c>
      <c r="E32" s="113" t="s">
        <v>208</v>
      </c>
      <c r="F32" s="115" t="s">
        <v>118</v>
      </c>
    </row>
    <row r="33" spans="1:6" ht="12" customHeight="1" x14ac:dyDescent="0.2">
      <c r="A33" s="112" t="s">
        <v>141</v>
      </c>
      <c r="B33" s="113" t="s">
        <v>199</v>
      </c>
      <c r="C33" s="114" t="s">
        <v>207</v>
      </c>
      <c r="D33" s="113" t="s">
        <v>21</v>
      </c>
      <c r="E33" s="113" t="s">
        <v>208</v>
      </c>
      <c r="F33" s="115" t="s">
        <v>120</v>
      </c>
    </row>
    <row r="34" spans="1:6" ht="12" customHeight="1" x14ac:dyDescent="0.2">
      <c r="A34" s="112" t="s">
        <v>162</v>
      </c>
      <c r="B34" s="113" t="s">
        <v>145</v>
      </c>
      <c r="C34" s="114" t="s">
        <v>207</v>
      </c>
      <c r="D34" s="113" t="s">
        <v>21</v>
      </c>
      <c r="E34" s="113" t="s">
        <v>208</v>
      </c>
      <c r="F34" s="115" t="s">
        <v>108</v>
      </c>
    </row>
    <row r="35" spans="1:6" ht="12" customHeight="1" x14ac:dyDescent="0.2">
      <c r="A35" s="116" t="s">
        <v>142</v>
      </c>
      <c r="B35" s="117" t="s">
        <v>199</v>
      </c>
      <c r="C35" s="118" t="s">
        <v>207</v>
      </c>
      <c r="D35" s="117" t="s">
        <v>21</v>
      </c>
      <c r="E35" s="118">
        <v>41249</v>
      </c>
      <c r="F35" s="119" t="s">
        <v>112</v>
      </c>
    </row>
    <row r="36" spans="1:6" ht="12" customHeight="1" x14ac:dyDescent="0.2">
      <c r="A36" s="120"/>
      <c r="B36" s="120"/>
      <c r="D36" s="120"/>
      <c r="E36" s="120"/>
      <c r="F36" s="120"/>
    </row>
    <row r="37" spans="1:6" ht="12" customHeight="1" x14ac:dyDescent="0.2">
      <c r="A37" s="120"/>
      <c r="B37" s="120"/>
      <c r="D37" s="120"/>
      <c r="E37" s="120"/>
      <c r="F37" s="120"/>
    </row>
    <row r="38" spans="1:6" ht="12" customHeight="1" x14ac:dyDescent="0.2">
      <c r="A38" s="120"/>
      <c r="B38" s="120"/>
      <c r="D38" s="120"/>
      <c r="E38" s="120"/>
      <c r="F38" s="120"/>
    </row>
  </sheetData>
  <mergeCells count="27">
    <mergeCell ref="A23:F23"/>
    <mergeCell ref="A24:F24"/>
    <mergeCell ref="A27:B27"/>
    <mergeCell ref="A30:B30"/>
    <mergeCell ref="A12:A22"/>
    <mergeCell ref="C12:F12"/>
    <mergeCell ref="C13:F13"/>
    <mergeCell ref="C14:F14"/>
    <mergeCell ref="C15:F15"/>
    <mergeCell ref="C16:F16"/>
    <mergeCell ref="C17:F17"/>
    <mergeCell ref="C18:F18"/>
    <mergeCell ref="C19:F19"/>
    <mergeCell ref="C20:F20"/>
    <mergeCell ref="C21:F21"/>
    <mergeCell ref="C22:F22"/>
    <mergeCell ref="C2:F2"/>
    <mergeCell ref="A3:A11"/>
    <mergeCell ref="C3:F3"/>
    <mergeCell ref="C4:F4"/>
    <mergeCell ref="C5:F5"/>
    <mergeCell ref="C6:F6"/>
    <mergeCell ref="C7:F7"/>
    <mergeCell ref="C8:F8"/>
    <mergeCell ref="C9:F9"/>
    <mergeCell ref="C10:F10"/>
    <mergeCell ref="C11:F11"/>
  </mergeCells>
  <conditionalFormatting sqref="A2:F43">
    <cfRule type="cellIs" dxfId="46" priority="2" operator="equal">
      <formula>"Not Acceptable"</formula>
    </cfRule>
    <cfRule type="cellIs" dxfId="45" priority="3" operator="equal">
      <formula>"Acceptable"</formula>
    </cfRule>
    <cfRule type="cellIs" dxfId="44" priority="4" operator="equal">
      <formula>"Low"</formula>
    </cfRule>
    <cfRule type="cellIs" dxfId="43" priority="5" operator="equal">
      <formula>"Below Medium"</formula>
    </cfRule>
    <cfRule type="cellIs" dxfId="42" priority="6" operator="equal">
      <formula>"Medium"</formula>
    </cfRule>
    <cfRule type="cellIs" dxfId="41" priority="7" operator="equal">
      <formula>"Above Medium"</formula>
    </cfRule>
    <cfRule type="cellIs" dxfId="40" priority="8" operator="equal">
      <formula>"High"</formula>
    </cfRule>
  </conditionalFormatting>
  <dataValidations count="5">
    <dataValidation type="list" allowBlank="1" showInputMessage="1" showErrorMessage="1" sqref="D32:D35" xr:uid="{00000000-0002-0000-0300-000000000000}">
      <formula1>Test_types</formula1>
      <formula2>0</formula2>
    </dataValidation>
    <dataValidation type="list" allowBlank="1" showInputMessage="1" showErrorMessage="1" sqref="F32:F35" xr:uid="{00000000-0002-0000-0300-000001000000}">
      <formula1>Quality_range</formula1>
      <formula2>0</formula2>
    </dataValidation>
    <dataValidation type="list" allowBlank="1" showInputMessage="1" showErrorMessage="1" sqref="B28 A32:A35" xr:uid="{00000000-0002-0000-0300-000002000000}">
      <formula1>Environment_OS</formula1>
      <formula2>0</formula2>
    </dataValidation>
    <dataValidation type="list" allowBlank="1" showInputMessage="1" showErrorMessage="1" sqref="B29" xr:uid="{00000000-0002-0000-0300-000003000000}">
      <formula1>Browser_list</formula1>
      <formula2>0</formula2>
    </dataValidation>
    <dataValidation type="list" allowBlank="1" showInputMessage="1" showErrorMessage="1" sqref="B32:B35" xr:uid="{00000000-0002-0000-0300-000004000000}">
      <formula1>$B$12:$B$22</formula1>
      <formula2>0</formula2>
    </dataValidation>
  </dataValidations>
  <hyperlinks>
    <hyperlink ref="K3" r:id="rId1" xr:uid="{00000000-0004-0000-0300-000000000000}"/>
    <hyperlink ref="K4" r:id="rId2" xr:uid="{00000000-0004-0000-0300-000001000000}"/>
    <hyperlink ref="K5" r:id="rId3" xr:uid="{00000000-0004-0000-0300-000002000000}"/>
    <hyperlink ref="K6" r:id="rId4" xr:uid="{00000000-0004-0000-0300-000003000000}"/>
  </hyperlink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91</TotalTim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Description</vt:lpstr>
      <vt:lpstr>Build Info</vt:lpstr>
      <vt:lpstr>Front End</vt:lpstr>
      <vt:lpstr>Testing Plan</vt:lpstr>
      <vt:lpstr>'Front End'!_FilterDatabase</vt:lpstr>
      <vt:lpstr>Browser_list</vt:lpstr>
      <vt:lpstr>Environment_OS</vt:lpstr>
      <vt:lpstr>Project_URL</vt:lpstr>
      <vt:lpstr>Quality_range</vt:lpstr>
      <vt:lpstr>Test_coverage</vt:lpstr>
      <vt:lpstr>Test_status</vt:lpstr>
      <vt:lpstr>Test_Team</vt:lpstr>
      <vt:lpstr>Test_types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DailyFitLog Acceptance sheet</cp:keywords>
  <dc:description/>
  <cp:lastModifiedBy>Akram</cp:lastModifiedBy>
  <cp:revision>21</cp:revision>
  <dcterms:created xsi:type="dcterms:W3CDTF">2007-06-26T08:13:00Z</dcterms:created>
  <dcterms:modified xsi:type="dcterms:W3CDTF">2026-03-12T02:36:35Z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
    <vt:lpwstr>Document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Owner">
    <vt:lpwstr/>
  </property>
  <property fmtid="{D5CDD505-2E9C-101B-9397-08002B2CF9AE}" pid="8" name="SPSDescription">
    <vt:lpwstr/>
  </property>
  <property fmtid="{D5CDD505-2E9C-101B-9397-08002B2CF9AE}" pid="9" name="ScaleCrop">
    <vt:bool>false</vt:bool>
  </property>
  <property fmtid="{D5CDD505-2E9C-101B-9397-08002B2CF9AE}" pid="10" name="ShareDoc">
    <vt:bool>false</vt:bool>
  </property>
  <property fmtid="{D5CDD505-2E9C-101B-9397-08002B2CF9AE}" pid="11" name="State">
    <vt:lpwstr>Active</vt:lpwstr>
  </property>
  <property fmtid="{D5CDD505-2E9C-101B-9397-08002B2CF9AE}" pid="12" name="Status">
    <vt:lpwstr/>
  </property>
</Properties>
</file>