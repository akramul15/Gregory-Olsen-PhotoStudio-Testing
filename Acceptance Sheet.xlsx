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ourses\a1qa\Task-3\"/>
    </mc:Choice>
  </mc:AlternateContent>
  <xr:revisionPtr revIDLastSave="0" documentId="13_ncr:1_{7BCA6170-2A51-4A56-865F-F04899BD9783}" xr6:coauthVersionLast="47" xr6:coauthVersionMax="47" xr10:uidLastSave="{00000000-0000-0000-0000-000000000000}"/>
  <bookViews>
    <workbookView xWindow="-120" yWindow="-120" windowWidth="20730" windowHeight="11040" tabRatio="500" activeTab="2" xr2:uid="{00000000-000D-0000-FFFF-FFFF00000000}"/>
  </bookViews>
  <sheets>
    <sheet name="Description" sheetId="1" r:id="rId1"/>
    <sheet name="Build Info" sheetId="2" r:id="rId2"/>
    <sheet name="Front End" sheetId="3" r:id="rId3"/>
    <sheet name="Testing Plan" sheetId="4" r:id="rId4"/>
  </sheets>
  <definedNames>
    <definedName name="_xlnm._FilterDatabase" localSheetId="2" hidden="1">'Front End'!$A$21:$A$125</definedName>
    <definedName name="B_Critical">#N/A</definedName>
    <definedName name="Blocker">#N/A</definedName>
    <definedName name="Browser_list">'Testing Plan'!$B$12:$B$22</definedName>
    <definedName name="Build_Number" localSheetId="1">OFFSET('Build Info'!$C$3,0,0,1,COUNTA('Build Info'!$3:$3)-2)</definedName>
    <definedName name="Environment_OS">'Testing Plan'!$B$3:$B$11</definedName>
    <definedName name="Major">OFFSET(Build_Number,50,0)</definedName>
    <definedName name="Minor">OFFSET('Build Info'!Build_Number,51,0)</definedName>
    <definedName name="Project_URL">'Testing Plan'!$K$3:$K$24</definedName>
    <definedName name="Quality">OFFSET('Build Info'!Build_Number,8,0)</definedName>
    <definedName name="Quality_range">Description!$A$92:$A$98</definedName>
    <definedName name="Size">OFFSET('Build Info'!Build_Number,6,0)</definedName>
    <definedName name="Test_coverage">Description!$B$11:$B$13</definedName>
    <definedName name="Test_status">Description!$A$79:$A$88</definedName>
    <definedName name="Test_Team">'Testing Plan'!$H$3:$H$24</definedName>
    <definedName name="Test_types">Description!$B$11:$B$19</definedName>
    <definedName name="Trivial">OFFSET('Build Info'!Build_Number,52,0)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3" l="1"/>
  <c r="F11" i="3"/>
  <c r="F14" i="3"/>
  <c r="F16" i="3"/>
  <c r="F15" i="3"/>
  <c r="F18" i="3"/>
  <c r="F17" i="3"/>
  <c r="F13" i="3"/>
  <c r="F10" i="3"/>
  <c r="F19" i="3"/>
  <c r="F20" i="3"/>
  <c r="B11" i="2"/>
  <c r="C11" i="2"/>
  <c r="D11" i="2"/>
  <c r="E11" i="2"/>
  <c r="F11" i="2"/>
  <c r="B29" i="2"/>
  <c r="C29" i="2"/>
  <c r="D29" i="2"/>
  <c r="E29" i="2"/>
  <c r="F29" i="2"/>
  <c r="E40" i="2"/>
  <c r="B56" i="2"/>
  <c r="C56" i="2"/>
  <c r="D56" i="2"/>
  <c r="E56" i="2"/>
  <c r="F56" i="2"/>
  <c r="G13" i="3" l="1"/>
  <c r="G17" i="3"/>
  <c r="G12" i="3"/>
  <c r="G16" i="3"/>
  <c r="G15" i="3"/>
  <c r="G14" i="3"/>
  <c r="G11" i="3"/>
  <c r="G10" i="3"/>
  <c r="G19" i="3"/>
  <c r="G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18" authorId="0" shapeId="0" xr:uid="{00000000-0006-0000-0000-000001000000}">
      <text>
        <r>
          <rPr>
            <sz val="9"/>
            <color indexed="8"/>
            <rFont val="Tahoma"/>
            <family val="2"/>
            <charset val="204"/>
          </rPr>
          <t>It is recommended not to merge columns with different test types.</t>
        </r>
      </text>
    </comment>
    <comment ref="B19" authorId="0" shapeId="0" xr:uid="{00000000-0006-0000-0000-000002000000}">
      <text>
        <r>
          <rPr>
            <sz val="9"/>
            <color indexed="8"/>
            <rFont val="Tahoma"/>
            <family val="2"/>
            <charset val="204"/>
          </rPr>
          <t>It is recommended not to merge columns with different test types.</t>
        </r>
      </text>
    </comment>
    <comment ref="A92" authorId="0" shapeId="0" xr:uid="{00000000-0006-0000-0000-000003000000}">
      <text>
        <r>
          <rPr>
            <sz val="9"/>
            <color indexed="8"/>
            <rFont val="Tahoma"/>
            <family val="2"/>
            <charset val="204"/>
          </rPr>
          <t>Required</t>
        </r>
      </text>
    </comment>
    <comment ref="A94" authorId="0" shapeId="0" xr:uid="{00000000-0006-0000-0000-000004000000}">
      <text>
        <r>
          <rPr>
            <sz val="9"/>
            <color indexed="8"/>
            <rFont val="Tahoma"/>
            <family val="2"/>
            <charset val="204"/>
          </rPr>
          <t>Required</t>
        </r>
      </text>
    </comment>
    <comment ref="A96" authorId="0" shapeId="0" xr:uid="{00000000-0006-0000-0000-000005000000}">
      <text>
        <r>
          <rPr>
            <sz val="9"/>
            <color indexed="8"/>
            <rFont val="Tahoma"/>
            <family val="2"/>
            <charset val="204"/>
          </rPr>
          <t>Required</t>
        </r>
      </text>
    </comment>
    <comment ref="A97" authorId="0" shapeId="0" xr:uid="{00000000-0006-0000-0000-000006000000}">
      <text>
        <r>
          <rPr>
            <sz val="9"/>
            <color indexed="8"/>
            <rFont val="Tahoma"/>
            <family val="2"/>
            <charset val="204"/>
          </rPr>
          <t>Required</t>
        </r>
      </text>
    </comment>
    <comment ref="A98" authorId="0" shapeId="0" xr:uid="{00000000-0006-0000-0000-000007000000}">
      <text>
        <r>
          <rPr>
            <sz val="9"/>
            <color indexed="8"/>
            <rFont val="Tahoma"/>
            <family val="2"/>
            <charset val="204"/>
          </rPr>
          <t>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1" authorId="0" shapeId="0" xr:uid="{00000000-0006-0000-0200-000001000000}">
      <text>
        <r>
          <rPr>
            <sz val="9"/>
            <color indexed="8"/>
            <rFont val="Tahoma"/>
            <family val="2"/>
            <charset val="204"/>
          </rPr>
          <t xml:space="preserve">Required
</t>
        </r>
      </text>
    </comment>
    <comment ref="B2" authorId="0" shapeId="0" xr:uid="{00000000-0006-0000-0200-000002000000}">
      <text>
        <r>
          <rPr>
            <sz val="9"/>
            <color indexed="8"/>
            <rFont val="Tahoma"/>
            <family val="2"/>
            <charset val="204"/>
          </rPr>
          <t>Required</t>
        </r>
      </text>
    </comment>
    <comment ref="B3" authorId="0" shapeId="0" xr:uid="{00000000-0006-0000-0200-000003000000}">
      <text>
        <r>
          <rPr>
            <sz val="9"/>
            <color indexed="8"/>
            <rFont val="Tahoma"/>
            <family val="2"/>
            <charset val="204"/>
          </rPr>
          <t>Required</t>
        </r>
      </text>
    </comment>
    <comment ref="B4" authorId="0" shapeId="0" xr:uid="{00000000-0006-0000-0200-000004000000}">
      <text>
        <r>
          <rPr>
            <sz val="9"/>
            <color indexed="8"/>
            <rFont val="Tahoma"/>
            <family val="2"/>
            <charset val="204"/>
          </rPr>
          <t>Required</t>
        </r>
      </text>
    </comment>
    <comment ref="B5" authorId="0" shapeId="0" xr:uid="{00000000-0006-0000-0200-000005000000}">
      <text>
        <r>
          <rPr>
            <sz val="9"/>
            <color indexed="8"/>
            <rFont val="Tahoma"/>
            <family val="2"/>
            <charset val="204"/>
          </rPr>
          <t xml:space="preserve">Required
</t>
        </r>
      </text>
    </comment>
    <comment ref="B21" authorId="0" shapeId="0" xr:uid="{00000000-0006-0000-0200-000006000000}">
      <text>
        <r>
          <rPr>
            <sz val="9"/>
            <color indexed="8"/>
            <rFont val="Tahoma"/>
            <family val="2"/>
            <charset val="204"/>
          </rPr>
          <t>Required</t>
        </r>
      </text>
    </comment>
    <comment ref="C21" authorId="0" shapeId="0" xr:uid="{00000000-0006-0000-0200-000007000000}">
      <text>
        <r>
          <rPr>
            <sz val="9"/>
            <color indexed="8"/>
            <rFont val="Tahoma"/>
            <family val="2"/>
            <charset val="204"/>
          </rPr>
          <t>Required</t>
        </r>
      </text>
    </comment>
    <comment ref="E21" authorId="0" shapeId="0" xr:uid="{00000000-0006-0000-0200-000008000000}">
      <text>
        <r>
          <rPr>
            <sz val="9"/>
            <color indexed="8"/>
            <rFont val="Tahoma"/>
            <family val="2"/>
            <charset val="204"/>
          </rPr>
          <t>Required</t>
        </r>
      </text>
    </comment>
  </commentList>
</comments>
</file>

<file path=xl/sharedStrings.xml><?xml version="1.0" encoding="utf-8"?>
<sst xmlns="http://schemas.openxmlformats.org/spreadsheetml/2006/main" count="639" uniqueCount="250">
  <si>
    <t>No Need to Edit  (EXAMPLE)</t>
  </si>
  <si>
    <t>"Project name" Acceptance Sheet Document</t>
  </si>
  <si>
    <t>The Acceptance Sheet contains information about all tests and their results.</t>
  </si>
  <si>
    <t>An acceptance sheet should be sent as an attach to PM, TM and PC after the MAT, the New Features Testing (if an acceptance test will not be executed) and the Acceptance Test.</t>
  </si>
  <si>
    <t>A common description of the quality of the build in accordance with last testing type should be included in such letters.</t>
  </si>
  <si>
    <t>Build Info &amp; Testing tabs description</t>
  </si>
  <si>
    <t>Build Information</t>
  </si>
  <si>
    <t>Build Number</t>
  </si>
  <si>
    <t>The number of the build that was tested.</t>
  </si>
  <si>
    <t>Test type</t>
  </si>
  <si>
    <t>Smoke Test</t>
  </si>
  <si>
    <t xml:space="preserve">A subset of all defined/planned test cases that cover the main functionality of a component or system, to ascertaining that the most crucial functions of a program work, but not bothering with finer details. </t>
  </si>
  <si>
    <t>MAT</t>
  </si>
  <si>
    <r>
      <rPr>
        <b/>
        <sz val="8"/>
        <rFont val="Arial"/>
        <family val="2"/>
        <charset val="204"/>
      </rPr>
      <t>Minimal Acceptance Test</t>
    </r>
    <r>
      <rPr>
        <sz val="8"/>
        <rFont val="Arial"/>
        <family val="2"/>
        <charset val="204"/>
      </rPr>
      <t xml:space="preserve">: A test directed to check that all application functions can be performed with correct data.
Check if all application features can be used under correct conditions. For complex and large applications, a limited set of functions and scenarios is used. </t>
    </r>
  </si>
  <si>
    <t>AT</t>
  </si>
  <si>
    <r>
      <rPr>
        <b/>
        <sz val="8"/>
        <rFont val="Arial"/>
        <family val="2"/>
        <charset val="204"/>
      </rPr>
      <t>Full Acceptance Test</t>
    </r>
    <r>
      <rPr>
        <sz val="8"/>
        <rFont val="Arial"/>
        <family val="2"/>
        <charset val="204"/>
      </rPr>
      <t xml:space="preserve">: A test directed to verify that the software can be used by end users to perform the functions and tasks for which the software was built under any conditions.
Business logic + functionality + form behaviour + GUI test + Usability test + localisation test (if applicable) — a complete test of the functionality and interface under any conditions (positive and negative testing). All these tests make up a maximal set for testing, but it can also comprise one or several parts (depending on the end-users aims while using the product). </t>
    </r>
  </si>
  <si>
    <t>NFT</t>
  </si>
  <si>
    <r>
      <rPr>
        <b/>
        <sz val="8"/>
        <rFont val="Arial"/>
        <family val="2"/>
        <charset val="204"/>
      </rPr>
      <t>Full Acceptance Test of New Features</t>
    </r>
    <r>
      <rPr>
        <sz val="8"/>
        <rFont val="Arial"/>
        <family val="2"/>
        <charset val="204"/>
      </rPr>
      <t xml:space="preserve">: A test directed to verify if the feature is completely and correctly implemented and if the logic of the product is not affected.
Check if all application features can be used under correct conditions. For complex and large applications, a limited set of functions and scenarios is used. </t>
    </r>
  </si>
  <si>
    <t>DV</t>
  </si>
  <si>
    <r>
      <rPr>
        <b/>
        <sz val="8"/>
        <rFont val="Arial"/>
        <family val="2"/>
        <charset val="204"/>
      </rPr>
      <t>Defects Validation</t>
    </r>
    <r>
      <rPr>
        <sz val="8"/>
        <rFont val="Arial"/>
        <family val="2"/>
        <charset val="204"/>
      </rPr>
      <t xml:space="preserve">: A test directed to check all the defects that were resolved against the current build.
Testing of the feature that contained the fixed defect. </t>
    </r>
  </si>
  <si>
    <t>Regression Test</t>
  </si>
  <si>
    <t xml:space="preserve">Testing of a previously tested program following modification to ensure that defects have not been introduced or uncovered in unchanged areas of the software, as a result of the changes made. It is performed when the software or its environment is changed. </t>
  </si>
  <si>
    <t>Crossbrowser Test</t>
  </si>
  <si>
    <t xml:space="preserve">Testing of the program to determine if it's functional on different internet browsers. </t>
  </si>
  <si>
    <t>Add test type if it's not on the list.</t>
  </si>
  <si>
    <t>Test date</t>
  </si>
  <si>
    <t>Date range when the tests were performed.</t>
  </si>
  <si>
    <t>Tester</t>
  </si>
  <si>
    <t>Testers who performed tests.</t>
  </si>
  <si>
    <t>Environment / OS</t>
  </si>
  <si>
    <t>Environment / OS on which the tests were performed.</t>
  </si>
  <si>
    <t>Browser</t>
  </si>
  <si>
    <t>Browser on which the tests were performed.</t>
  </si>
  <si>
    <t>Project Size</t>
  </si>
  <si>
    <t>Subjective metric set for the first build by QA Manager for further tracking of quality.</t>
  </si>
  <si>
    <t>Quality</t>
  </si>
  <si>
    <t>Subjective quality rate of the build.</t>
  </si>
  <si>
    <t>Quality rate</t>
  </si>
  <si>
    <t>Calculated quality rate of the build.</t>
  </si>
  <si>
    <t>Total defects quantity</t>
  </si>
  <si>
    <t>Quantity of all active defects in Jira by the end of testing.</t>
  </si>
  <si>
    <t>New defects quantity</t>
  </si>
  <si>
    <t>Quantity of active defects in Jira by the end of testing found in the current build.</t>
  </si>
  <si>
    <t>Comments</t>
  </si>
  <si>
    <t>Any comments that are needed.</t>
  </si>
  <si>
    <t>New defects found</t>
  </si>
  <si>
    <t>Quantity of active defects by the end of testing found in the current build.</t>
  </si>
  <si>
    <t>With high severity</t>
  </si>
  <si>
    <t>Quantity of active defects with high severity (Average, Major, Critical) by the end of testing found in the current build.</t>
  </si>
  <si>
    <t>Jira defects status report</t>
  </si>
  <si>
    <t>Open</t>
  </si>
  <si>
    <t>Quantity of defects having "Open" state by the end of testing (the issue is open and ready for the assignee to start work on it).</t>
  </si>
  <si>
    <t>In Progress</t>
  </si>
  <si>
    <t>Quantity of defects having "In Progress" state by the end of testing (this issue is being actively worked on at the moment by the assignee).</t>
  </si>
  <si>
    <t>Resolved</t>
  </si>
  <si>
    <t>Quantity of defects having "Resolved" state by the end of testing (A resolution has been taken, and it is awaiting verification by reporter. From here issues are either reopened, or are closed).</t>
  </si>
  <si>
    <t>Postponed</t>
  </si>
  <si>
    <t>Quantity of defects having "Postponed" state by the end of testing.</t>
  </si>
  <si>
    <t>To be reformulated</t>
  </si>
  <si>
    <t>Quantity of defects having "To be reformulated" state by the end of testing.</t>
  </si>
  <si>
    <t>Total</t>
  </si>
  <si>
    <t>Total quantity of active defects in JIRA.</t>
  </si>
  <si>
    <t>Defect validation report</t>
  </si>
  <si>
    <t>Number of checked defects</t>
  </si>
  <si>
    <t>Quantity of defects checked in the current build.</t>
  </si>
  <si>
    <t>Reject: Critical</t>
  </si>
  <si>
    <t>Quantity of rejected defects with "Critical" severity in the current build.</t>
  </si>
  <si>
    <t>Reject: Major</t>
  </si>
  <si>
    <t>Quantity of rejected defects with "Major" severity in the current build.</t>
  </si>
  <si>
    <t>Reject: Average</t>
  </si>
  <si>
    <t>Quantity of rejected defects with "Average" severity in the current build.</t>
  </si>
  <si>
    <t>Reject: Minor</t>
  </si>
  <si>
    <t>Quantity of rejected defects with "Minor" severity in the current build.</t>
  </si>
  <si>
    <t>Reject: Enhancement</t>
  </si>
  <si>
    <t>Quantity of rejected defects with "Enhancementl" severity in the current build.</t>
  </si>
  <si>
    <t>Not checked</t>
  </si>
  <si>
    <t>Quantity of defects required to be checked but not checked.</t>
  </si>
  <si>
    <t>Percent of Rejects</t>
  </si>
  <si>
    <t>Percentage of rejected defects.</t>
  </si>
  <si>
    <t>CR validation report</t>
  </si>
  <si>
    <t>Number of checked CRs</t>
  </si>
  <si>
    <t>Quantity of CRs checked in the current build.</t>
  </si>
  <si>
    <t>Rejected</t>
  </si>
  <si>
    <t>Quantity of rejected CRs in the current build.</t>
  </si>
  <si>
    <t>Quantity of CRs required to be checked but not checked.</t>
  </si>
  <si>
    <t>Percentage of rejected CRs.</t>
  </si>
  <si>
    <t>Jira defects severity report</t>
  </si>
  <si>
    <t>Critical</t>
  </si>
  <si>
    <t>Quantity of active defects with "Critical" severity by the end of testing.</t>
  </si>
  <si>
    <t>Major</t>
  </si>
  <si>
    <t>Quantity of active defects with "Major" severity by the end of testing.</t>
  </si>
  <si>
    <t>Average</t>
  </si>
  <si>
    <t>Quantity of active defects with "Average" severity by the end of testing.</t>
  </si>
  <si>
    <t>Minor</t>
  </si>
  <si>
    <t>Quantity of active defects with "Minor" severity by the end of testing.</t>
  </si>
  <si>
    <t>Enhancement</t>
  </si>
  <si>
    <t>Quantity of active defects with "Enhancement" severity by the end of testing.</t>
  </si>
  <si>
    <t>Results used by the tester when filling cells of the Acceptance Sheet</t>
  </si>
  <si>
    <t>OK</t>
  </si>
  <si>
    <t>Everything works fine.</t>
  </si>
  <si>
    <t>Partially tested</t>
  </si>
  <si>
    <t>Function was tested partially due to some reasons.</t>
  </si>
  <si>
    <t>Design, navigation, functional proposals and advice. This Defect is not obligatory to be fixed.</t>
  </si>
  <si>
    <t xml:space="preserve">Design error. Functional error that rarely occurs. </t>
  </si>
  <si>
    <t>Functional error which is not very important. Function behaviour does not correspond to the Use Case completely (for example fields max length, etc). This defect does not influence greatly on the user’s work.</t>
  </si>
  <si>
    <t>Functional error which disturbs normal work of an application, but the error does not block the work of this part of application completely.</t>
  </si>
  <si>
    <t>Functional error which blocks completely some part of functional or all application.</t>
  </si>
  <si>
    <t>Not available</t>
  </si>
  <si>
    <t>Function is not available for test.</t>
  </si>
  <si>
    <t>Not implemented</t>
  </si>
  <si>
    <t>Function has been not implemented yet.</t>
  </si>
  <si>
    <t>Not tested</t>
  </si>
  <si>
    <t>Function has not been tested.</t>
  </si>
  <si>
    <t>Build quality range</t>
  </si>
  <si>
    <t>High</t>
  </si>
  <si>
    <t>Applies to MAT, AT, NFT, Regression test, Crossbrowser test. 
A few enhancement/minor GUI problems exist in the application, the application works as designed, and conforms the end-user’s requirements.</t>
  </si>
  <si>
    <t>Above Medium</t>
  </si>
  <si>
    <t xml:space="preserve">Applies to MAT, AT, NFT, Regression test, Crossbrowser test. 
Some minor issues exist in the application. It works as designed and these defects do not affect seriously end-user’s work. Insignificant functional or GUI issues exist, fixing of which would slightly improve a use case behavior or performance. The use cases complete as designed. </t>
  </si>
  <si>
    <t>Medium</t>
  </si>
  <si>
    <t xml:space="preserve">Applies to MAT, AT, NFT, Regression test, Crossbrowser test. 
A quantity of minor and a few major problems disrupting the normal user’s work. There are issues which affects functional areas within minor features. The use cases can be completed with a minimum of workaround. </t>
  </si>
  <si>
    <t>Below Medium</t>
  </si>
  <si>
    <t xml:space="preserve">Applies to MAT, AT, NFT, Regression test, Crossbrowser test. 
A great deal of minor and major problems disrupting the normal user’s work. There are issues which affects functional areas within major features. The use cases can be completed with a minimum of workaround. </t>
  </si>
  <si>
    <t>Low</t>
  </si>
  <si>
    <t xml:space="preserve">Applies to MAT, AT, NFT, Regression test, Crossbrowser test. 
Critical or major issues exist. The user can not work properly with the application. There are issues which affect the use of one or more major features within the application. There may be a workaround, however, and testing can continue. </t>
  </si>
  <si>
    <t>Acceptable</t>
  </si>
  <si>
    <t>Applies to ST and means that the build is acceptable for further testing. 
Applies to DV and means that 10% or less of issues rejected.</t>
  </si>
  <si>
    <t>Not Acceptable</t>
  </si>
  <si>
    <t>Applies to ST and means that the build is not acceptable for further testing. The test team is blocked.
Applies to DV and means that more than 10% of issues rejected.</t>
  </si>
  <si>
    <t>Testing Plan tab description</t>
  </si>
  <si>
    <t>Information about required browsers and OS, necessary tests and their date and results.</t>
  </si>
  <si>
    <t>No Need to Edit (EXAMPLE)</t>
  </si>
  <si>
    <t>Required</t>
  </si>
  <si>
    <t>Build number</t>
  </si>
  <si>
    <t>11-12.06.2012</t>
  </si>
  <si>
    <t>O. Kot</t>
  </si>
  <si>
    <t>Win 7</t>
  </si>
  <si>
    <t>IE 9</t>
  </si>
  <si>
    <t>Project size</t>
  </si>
  <si>
    <t>Statistics for Defects</t>
  </si>
  <si>
    <t>New defects found:</t>
  </si>
  <si>
    <t>Jira defects status report:</t>
  </si>
  <si>
    <t>Defect validation report:</t>
  </si>
  <si>
    <t>–</t>
  </si>
  <si>
    <t>CR validation report:</t>
  </si>
  <si>
    <t>Jira defects severity report:</t>
  </si>
  <si>
    <t>Build</t>
  </si>
  <si>
    <t>Project Environment</t>
  </si>
  <si>
    <t>Operating System</t>
  </si>
  <si>
    <t>Project Information</t>
  </si>
  <si>
    <t>Test Cases Statistics</t>
  </si>
  <si>
    <t>Project name</t>
  </si>
  <si>
    <t>Status</t>
  </si>
  <si>
    <t>Quantity</t>
  </si>
  <si>
    <t>Percentage (%)</t>
  </si>
  <si>
    <t>Project URL</t>
  </si>
  <si>
    <t>Total cases</t>
  </si>
  <si>
    <t>Module</t>
  </si>
  <si>
    <t>Submodule</t>
  </si>
  <si>
    <t>Result</t>
  </si>
  <si>
    <t>Issues</t>
  </si>
  <si>
    <t>GUI</t>
  </si>
  <si>
    <t>Requirement</t>
  </si>
  <si>
    <t>Software</t>
  </si>
  <si>
    <t>Test Team</t>
  </si>
  <si>
    <t>URL</t>
  </si>
  <si>
    <t>Environment / Operating System</t>
  </si>
  <si>
    <t>6.8 %</t>
  </si>
  <si>
    <t>Add environment / operating system if it's not on the list.</t>
  </si>
  <si>
    <t>—</t>
  </si>
  <si>
    <t>Used for testing environment with built-in browser (e.g. in Android system).</t>
  </si>
  <si>
    <t>Chrome 134</t>
  </si>
  <si>
    <t>Add browser if it's not on the list.</t>
  </si>
  <si>
    <t>Language: English</t>
  </si>
  <si>
    <t xml:space="preserve"> </t>
  </si>
  <si>
    <t>Main Test Condition</t>
  </si>
  <si>
    <t>OS</t>
  </si>
  <si>
    <t>Additional Test Plan</t>
  </si>
  <si>
    <t>Test Type</t>
  </si>
  <si>
    <t>04 – 05.12.2024</t>
  </si>
  <si>
    <t>GregOlsen.PhotoStudio</t>
  </si>
  <si>
    <t>10-12.03.2026</t>
  </si>
  <si>
    <t>Md. Akramul Islam</t>
  </si>
  <si>
    <t>Win 11 pro</t>
  </si>
  <si>
    <t>Google Chrome Version 146.0.7680.72</t>
  </si>
  <si>
    <t>Home</t>
  </si>
  <si>
    <t>Header</t>
  </si>
  <si>
    <t>Navigation</t>
  </si>
  <si>
    <t>Search</t>
  </si>
  <si>
    <t>Fun: Display search results</t>
  </si>
  <si>
    <t>Demo</t>
  </si>
  <si>
    <t>Fun: Image swapping</t>
  </si>
  <si>
    <t>Fun: Gallery redirection links</t>
  </si>
  <si>
    <t>Question-Answer Zone</t>
  </si>
  <si>
    <t>Footer</t>
  </si>
  <si>
    <t>Portrait</t>
  </si>
  <si>
    <t>Work</t>
  </si>
  <si>
    <t xml:space="preserve">Fun: Pagination </t>
  </si>
  <si>
    <t>Fun: Photo count</t>
  </si>
  <si>
    <t xml:space="preserve">Fun: Image expansion(Natural Size) </t>
  </si>
  <si>
    <t>Fun:Tooltip of Photo Number</t>
  </si>
  <si>
    <t>Fun: Hover Show All Preview Photos From Current Page</t>
  </si>
  <si>
    <t>Lifestyle</t>
  </si>
  <si>
    <t>Fun: Photo Order</t>
  </si>
  <si>
    <t>Travel</t>
  </si>
  <si>
    <t>Motion</t>
  </si>
  <si>
    <t>Fun: Menu Link and Order</t>
  </si>
  <si>
    <t xml:space="preserve">Bio &amp; Press </t>
  </si>
  <si>
    <t>Connect</t>
  </si>
  <si>
    <t>Clients</t>
  </si>
  <si>
    <t xml:space="preserve">Fun: External Link Redirection </t>
  </si>
  <si>
    <t>Philanthropy</t>
  </si>
  <si>
    <t>Contact</t>
  </si>
  <si>
    <t>Fun: Firstname Field</t>
  </si>
  <si>
    <t>Fun: Lastname Field</t>
  </si>
  <si>
    <t>Fun: Email Field</t>
  </si>
  <si>
    <t>Fun: Subject Field</t>
  </si>
  <si>
    <t>Fun: Message Field</t>
  </si>
  <si>
    <t>Fun: Send Message Button</t>
  </si>
  <si>
    <t>Fun: Fixed Position</t>
  </si>
  <si>
    <t>Overview</t>
  </si>
  <si>
    <t>Sessions</t>
  </si>
  <si>
    <t>Fun:Book Now Button</t>
  </si>
  <si>
    <t>Booking</t>
  </si>
  <si>
    <t>Fun: Additional Subjects</t>
  </si>
  <si>
    <t>Fun: Back Button</t>
  </si>
  <si>
    <t xml:space="preserve">Book Information </t>
  </si>
  <si>
    <t>Fun: Total Price</t>
  </si>
  <si>
    <t>Fun: Company Field</t>
  </si>
  <si>
    <t>Fun: Address Field</t>
  </si>
  <si>
    <t>Fun: Apartment Field</t>
  </si>
  <si>
    <t>Fun: City Field</t>
  </si>
  <si>
    <t>Fun: Country Field</t>
  </si>
  <si>
    <t>Fun: Postal Code Field</t>
  </si>
  <si>
    <t>Fun: Phone Field</t>
  </si>
  <si>
    <t>Fun: Keep me up to date on news - checkbox</t>
  </si>
  <si>
    <t>Fun: Save this information for next time - checkbox</t>
  </si>
  <si>
    <t xml:space="preserve">Fun: Continue To Payment Method Button </t>
  </si>
  <si>
    <t>Payment</t>
  </si>
  <si>
    <t>Form</t>
  </si>
  <si>
    <t>Fun: Owner Field</t>
  </si>
  <si>
    <t>Fun: CVV Field</t>
  </si>
  <si>
    <t>Fun: Card Number Field</t>
  </si>
  <si>
    <t>Fun: Expiration Date Field</t>
  </si>
  <si>
    <t>Fun: Confirm Button</t>
  </si>
  <si>
    <t>Fun: Success Email</t>
  </si>
  <si>
    <t>Notification</t>
  </si>
  <si>
    <t>Fun: Instagram link redirection</t>
  </si>
  <si>
    <t xml:space="preserve"> InstaOlsen </t>
  </si>
  <si>
    <t>Title tab</t>
  </si>
  <si>
    <t>http://80.249.129.99:58363/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</si>
</sst>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8" x14ac:knownFonts="1">
    <font>
      <sz val="10"/>
      <name val="Arial"/>
      <charset val="204"/>
    </font>
    <font>
      <sz val="11"/>
      <color indexed="8"/>
      <name val="Calibri"/>
      <family val="2"/>
      <charset val="204"/>
    </font>
    <font>
      <sz val="10"/>
      <name val="Arial"/>
      <family val="2"/>
      <charset val="204"/>
    </font>
    <font>
      <sz val="10"/>
      <name val="Arial Cyr"/>
      <charset val="204"/>
    </font>
    <font>
      <sz val="8"/>
      <name val="Arial"/>
      <family val="2"/>
      <charset val="204"/>
    </font>
    <font>
      <b/>
      <sz val="15"/>
      <color indexed="10"/>
      <name val="Arial"/>
      <family val="2"/>
      <charset val="204"/>
    </font>
    <font>
      <sz val="15"/>
      <color indexed="10"/>
      <name val="Arial"/>
      <family val="2"/>
      <charset val="204"/>
    </font>
    <font>
      <b/>
      <sz val="9"/>
      <color indexed="9"/>
      <name val="Arial"/>
      <family val="2"/>
      <charset val="204"/>
    </font>
    <font>
      <sz val="11"/>
      <color indexed="9"/>
      <name val="Calibri"/>
      <family val="2"/>
    </font>
    <font>
      <sz val="9"/>
      <name val="Arial"/>
      <family val="2"/>
      <charset val="204"/>
    </font>
    <font>
      <b/>
      <sz val="9"/>
      <color indexed="60"/>
      <name val="Arial"/>
      <family val="2"/>
      <charset val="204"/>
    </font>
    <font>
      <b/>
      <sz val="8"/>
      <color indexed="63"/>
      <name val="Arial"/>
      <family val="2"/>
      <charset val="204"/>
    </font>
    <font>
      <b/>
      <sz val="8"/>
      <name val="Arial"/>
      <family val="2"/>
      <charset val="204"/>
    </font>
    <font>
      <i/>
      <sz val="8"/>
      <name val="Arial"/>
      <family val="2"/>
      <charset val="204"/>
    </font>
    <font>
      <sz val="8"/>
      <color indexed="17"/>
      <name val="Arial"/>
      <family val="2"/>
      <charset val="204"/>
    </font>
    <font>
      <sz val="11"/>
      <color indexed="17"/>
      <name val="Calibri"/>
      <family val="2"/>
    </font>
    <font>
      <sz val="8"/>
      <color indexed="19"/>
      <name val="Arial"/>
      <family val="2"/>
      <charset val="204"/>
    </font>
    <font>
      <sz val="11"/>
      <color indexed="60"/>
      <name val="Calibri"/>
      <family val="2"/>
    </font>
    <font>
      <sz val="8"/>
      <color indexed="60"/>
      <name val="Arial"/>
      <family val="2"/>
      <charset val="204"/>
    </font>
    <font>
      <sz val="8"/>
      <color indexed="20"/>
      <name val="Arial"/>
      <family val="2"/>
      <charset val="204"/>
    </font>
    <font>
      <sz val="11"/>
      <color indexed="20"/>
      <name val="Calibri"/>
      <family val="2"/>
    </font>
    <font>
      <b/>
      <sz val="8"/>
      <color indexed="12"/>
      <name val="Arial"/>
      <family val="2"/>
      <charset val="204"/>
    </font>
    <font>
      <sz val="9"/>
      <color indexed="8"/>
      <name val="Tahoma"/>
      <family val="2"/>
      <charset val="204"/>
    </font>
    <font>
      <b/>
      <sz val="9"/>
      <name val="Arial"/>
      <family val="2"/>
      <charset val="204"/>
    </font>
    <font>
      <sz val="8"/>
      <color indexed="8"/>
      <name val="Arial"/>
      <family val="2"/>
      <charset val="204"/>
    </font>
    <font>
      <sz val="8"/>
      <color indexed="8"/>
      <name val="Calibri"/>
      <family val="2"/>
      <charset val="204"/>
    </font>
    <font>
      <b/>
      <sz val="8"/>
      <color indexed="8"/>
      <name val="Arial"/>
      <family val="2"/>
      <charset val="204"/>
    </font>
    <font>
      <b/>
      <sz val="8"/>
      <color indexed="8"/>
      <name val="Calibri"/>
      <family val="2"/>
      <charset val="204"/>
    </font>
    <font>
      <sz val="9"/>
      <color indexed="8"/>
      <name val="Calibri"/>
      <family val="2"/>
      <charset val="204"/>
    </font>
    <font>
      <b/>
      <sz val="8"/>
      <color indexed="9"/>
      <name val="Arial"/>
      <family val="2"/>
      <charset val="204"/>
    </font>
    <font>
      <sz val="8"/>
      <color indexed="9"/>
      <name val="Arial"/>
      <family val="2"/>
      <charset val="204"/>
    </font>
    <font>
      <u/>
      <sz val="8"/>
      <color indexed="12"/>
      <name val="Arial"/>
      <family val="2"/>
      <charset val="204"/>
    </font>
    <font>
      <u/>
      <sz val="10"/>
      <color indexed="12"/>
      <name val="Arial"/>
      <family val="2"/>
      <charset val="204"/>
    </font>
    <font>
      <sz val="8"/>
      <name val="Calibri"/>
      <family val="2"/>
      <charset val="204"/>
    </font>
    <font>
      <b/>
      <sz val="9"/>
      <color indexed="8"/>
      <name val="Arial"/>
      <family val="2"/>
      <charset val="204"/>
    </font>
    <font>
      <b/>
      <sz val="9"/>
      <color indexed="63"/>
      <name val="Arial"/>
      <family val="2"/>
      <charset val="204"/>
    </font>
    <font>
      <sz val="10"/>
      <name val="Arial"/>
      <family val="2"/>
    </font>
    <font>
      <b/>
      <sz val="8"/>
      <name val="Arial"/>
      <family val="2"/>
    </font>
  </fonts>
  <fills count="11">
    <fill>
      <patternFill patternType="none"/>
    </fill>
    <fill>
      <patternFill patternType="gray125"/>
    </fill>
    <fill>
      <patternFill patternType="solid">
        <fgColor indexed="46"/>
        <bgColor indexed="24"/>
      </patternFill>
    </fill>
    <fill>
      <patternFill patternType="solid">
        <fgColor indexed="20"/>
        <bgColor indexed="28"/>
      </patternFill>
    </fill>
    <fill>
      <patternFill patternType="solid">
        <fgColor indexed="42"/>
        <bgColor indexed="27"/>
      </patternFill>
    </fill>
    <fill>
      <patternFill patternType="solid">
        <fgColor indexed="57"/>
        <bgColor indexed="48"/>
      </patternFill>
    </fill>
    <fill>
      <patternFill patternType="solid">
        <fgColor indexed="43"/>
        <bgColor indexed="26"/>
      </patternFill>
    </fill>
    <fill>
      <patternFill patternType="solid">
        <fgColor indexed="53"/>
        <bgColor indexed="52"/>
      </patternFill>
    </fill>
    <fill>
      <patternFill patternType="solid">
        <fgColor indexed="45"/>
        <bgColor indexed="29"/>
      </patternFill>
    </fill>
    <fill>
      <patternFill patternType="solid">
        <fgColor indexed="9"/>
        <bgColor indexed="41"/>
      </patternFill>
    </fill>
    <fill>
      <patternFill patternType="solid">
        <fgColor indexed="49"/>
        <bgColor indexed="40"/>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bottom/>
      <diagonal/>
    </border>
    <border>
      <left style="thin">
        <color indexed="23"/>
      </left>
      <right style="thin">
        <color indexed="23"/>
      </right>
      <top/>
      <bottom style="thin">
        <color indexed="23"/>
      </bottom>
      <diagonal/>
    </border>
    <border>
      <left style="thin">
        <color indexed="23"/>
      </left>
      <right style="thin">
        <color indexed="23"/>
      </right>
      <top style="thin">
        <color indexed="23"/>
      </top>
      <bottom/>
      <diagonal/>
    </border>
    <border>
      <left/>
      <right style="thin">
        <color indexed="23"/>
      </right>
      <top style="thin">
        <color indexed="23"/>
      </top>
      <bottom style="thin">
        <color indexed="23"/>
      </bottom>
      <diagonal/>
    </border>
    <border>
      <left/>
      <right/>
      <top style="thin">
        <color indexed="23"/>
      </top>
      <bottom/>
      <diagonal/>
    </border>
    <border>
      <left style="thin">
        <color indexed="63"/>
      </left>
      <right/>
      <top/>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style="thin">
        <color indexed="23"/>
      </left>
      <right style="thin">
        <color indexed="23"/>
      </right>
      <top style="thin">
        <color indexed="63"/>
      </top>
      <bottom/>
      <diagonal/>
    </border>
    <border>
      <left/>
      <right style="thin">
        <color indexed="23"/>
      </right>
      <top style="thin">
        <color indexed="23"/>
      </top>
      <bottom/>
      <diagonal/>
    </border>
    <border>
      <left/>
      <right style="thin">
        <color indexed="23"/>
      </right>
      <top/>
      <bottom/>
      <diagonal/>
    </border>
    <border>
      <left/>
      <right style="thin">
        <color indexed="23"/>
      </right>
      <top/>
      <bottom style="thin">
        <color indexed="23"/>
      </bottom>
      <diagonal/>
    </border>
    <border>
      <left style="thin">
        <color indexed="23"/>
      </left>
      <right style="thin">
        <color indexed="63"/>
      </right>
      <top style="thin">
        <color indexed="23"/>
      </top>
      <bottom style="thin">
        <color indexed="63"/>
      </bottom>
      <diagonal/>
    </border>
    <border>
      <left style="thin">
        <color indexed="63"/>
      </left>
      <right style="thin">
        <color indexed="63"/>
      </right>
      <top style="thin">
        <color indexed="23"/>
      </top>
      <bottom style="thin">
        <color indexed="63"/>
      </bottom>
      <diagonal/>
    </border>
    <border>
      <left style="thin">
        <color indexed="63"/>
      </left>
      <right style="thin">
        <color indexed="23"/>
      </right>
      <top style="thin">
        <color indexed="23"/>
      </top>
      <bottom style="thin">
        <color indexed="63"/>
      </bottom>
      <diagonal/>
    </border>
    <border>
      <left style="thin">
        <color indexed="23"/>
      </left>
      <right style="thin">
        <color indexed="63"/>
      </right>
      <top style="thin">
        <color indexed="63"/>
      </top>
      <bottom style="thin">
        <color indexed="63"/>
      </bottom>
      <diagonal/>
    </border>
    <border>
      <left style="thin">
        <color indexed="63"/>
      </left>
      <right style="thin">
        <color indexed="23"/>
      </right>
      <top style="thin">
        <color indexed="63"/>
      </top>
      <bottom style="thin">
        <color indexed="63"/>
      </bottom>
      <diagonal/>
    </border>
    <border>
      <left style="thin">
        <color indexed="23"/>
      </left>
      <right style="thin">
        <color indexed="63"/>
      </right>
      <top style="thin">
        <color indexed="63"/>
      </top>
      <bottom style="thin">
        <color indexed="23"/>
      </bottom>
      <diagonal/>
    </border>
    <border>
      <left style="thin">
        <color indexed="63"/>
      </left>
      <right style="thin">
        <color indexed="63"/>
      </right>
      <top style="thin">
        <color indexed="63"/>
      </top>
      <bottom style="thin">
        <color indexed="23"/>
      </bottom>
      <diagonal/>
    </border>
    <border>
      <left style="thin">
        <color indexed="63"/>
      </left>
      <right style="thin">
        <color indexed="23"/>
      </right>
      <top style="thin">
        <color indexed="63"/>
      </top>
      <bottom style="thin">
        <color indexed="23"/>
      </bottom>
      <diagonal/>
    </border>
  </borders>
  <cellStyleXfs count="16">
    <xf numFmtId="0" fontId="0" fillId="0" borderId="0"/>
    <xf numFmtId="9" fontId="36" fillId="0" borderId="0" applyFill="0" applyBorder="0" applyAlignment="0" applyProtection="0"/>
    <xf numFmtId="0" fontId="32" fillId="0" borderId="0" applyNumberFormat="0" applyFill="0" applyBorder="0" applyAlignment="0" applyProtection="0"/>
    <xf numFmtId="0" fontId="1" fillId="2" borderId="0" applyNumberFormat="0" applyBorder="0" applyAlignment="0" applyProtection="0"/>
    <xf numFmtId="0" fontId="2" fillId="0" borderId="0"/>
    <xf numFmtId="0" fontId="2" fillId="0" borderId="0"/>
    <xf numFmtId="0" fontId="3" fillId="0" borderId="0"/>
    <xf numFmtId="0" fontId="3" fillId="0" borderId="0"/>
    <xf numFmtId="0" fontId="2" fillId="0" borderId="0"/>
    <xf numFmtId="0" fontId="3" fillId="0" borderId="0"/>
    <xf numFmtId="0" fontId="8" fillId="3" borderId="0" applyNumberFormat="0" applyBorder="0" applyAlignment="0" applyProtection="0"/>
    <xf numFmtId="0" fontId="15" fillId="4" borderId="0" applyNumberFormat="0" applyBorder="0" applyAlignment="0" applyProtection="0"/>
    <xf numFmtId="0" fontId="8" fillId="5" borderId="0" applyNumberFormat="0" applyBorder="0" applyAlignment="0" applyProtection="0"/>
    <xf numFmtId="0" fontId="17" fillId="6" borderId="0" applyNumberFormat="0" applyBorder="0" applyAlignment="0" applyProtection="0"/>
    <xf numFmtId="0" fontId="8" fillId="7" borderId="0" applyNumberFormat="0" applyBorder="0" applyAlignment="0" applyProtection="0"/>
    <xf numFmtId="0" fontId="20" fillId="8" borderId="0" applyNumberFormat="0" applyBorder="0" applyAlignment="0" applyProtection="0"/>
  </cellStyleXfs>
  <cellXfs count="167">
    <xf numFmtId="0" fontId="0" fillId="0" borderId="0" xfId="0"/>
    <xf numFmtId="0" fontId="4" fillId="0" borderId="0" xfId="6" applyFont="1" applyAlignment="1">
      <alignment vertical="center"/>
    </xf>
    <xf numFmtId="0" fontId="5" fillId="9" borderId="1" xfId="5" applyFont="1" applyFill="1" applyBorder="1" applyAlignment="1">
      <alignment horizontal="center" vertical="center" wrapText="1" shrinkToFit="1"/>
    </xf>
    <xf numFmtId="0" fontId="5" fillId="9" borderId="1" xfId="5" applyFont="1" applyFill="1" applyBorder="1" applyAlignment="1">
      <alignment vertical="center" wrapText="1" shrinkToFit="1"/>
    </xf>
    <xf numFmtId="0" fontId="6" fillId="9" borderId="0" xfId="0" applyFont="1" applyFill="1" applyAlignment="1">
      <alignment vertical="center" wrapText="1"/>
    </xf>
    <xf numFmtId="0" fontId="5" fillId="9" borderId="2" xfId="5" applyFont="1" applyFill="1" applyBorder="1" applyAlignment="1">
      <alignment horizontal="center" vertical="center" wrapText="1" shrinkToFit="1"/>
    </xf>
    <xf numFmtId="0" fontId="9" fillId="0" borderId="0" xfId="6" applyFont="1" applyAlignment="1">
      <alignment vertical="center"/>
    </xf>
    <xf numFmtId="0" fontId="4" fillId="0" borderId="0" xfId="6" applyFont="1" applyBorder="1" applyAlignment="1">
      <alignment vertical="center"/>
    </xf>
    <xf numFmtId="0" fontId="4" fillId="0" borderId="0" xfId="6" applyFont="1" applyFill="1" applyBorder="1" applyAlignment="1">
      <alignment vertical="center"/>
    </xf>
    <xf numFmtId="0" fontId="4" fillId="0" borderId="0" xfId="3" applyNumberFormat="1" applyFont="1" applyFill="1" applyBorder="1" applyAlignment="1" applyProtection="1">
      <alignment vertical="center" wrapText="1"/>
    </xf>
    <xf numFmtId="0" fontId="9" fillId="0" borderId="0" xfId="6" applyFont="1" applyBorder="1" applyAlignment="1">
      <alignment vertical="center"/>
    </xf>
    <xf numFmtId="0" fontId="10" fillId="0" borderId="0" xfId="0" applyFont="1" applyBorder="1" applyAlignment="1">
      <alignment vertical="center"/>
    </xf>
    <xf numFmtId="0" fontId="10" fillId="0" borderId="0" xfId="0" applyFont="1" applyAlignment="1">
      <alignment vertical="center"/>
    </xf>
    <xf numFmtId="0" fontId="11" fillId="10" borderId="1" xfId="3" applyNumberFormat="1" applyFont="1" applyFill="1" applyBorder="1" applyAlignment="1" applyProtection="1">
      <alignment horizontal="left" vertical="center" wrapText="1" shrinkToFit="1"/>
    </xf>
    <xf numFmtId="0" fontId="4" fillId="0" borderId="0" xfId="0" applyFont="1" applyBorder="1" applyAlignment="1">
      <alignment horizontal="center" vertical="center"/>
    </xf>
    <xf numFmtId="0" fontId="4" fillId="0" borderId="5" xfId="3" applyNumberFormat="1" applyFont="1" applyFill="1" applyBorder="1" applyAlignment="1" applyProtection="1">
      <alignment vertical="center" wrapText="1"/>
    </xf>
    <xf numFmtId="49" fontId="4" fillId="0" borderId="0" xfId="9" applyNumberFormat="1" applyFont="1" applyBorder="1" applyAlignment="1">
      <alignment horizontal="center" vertical="center"/>
    </xf>
    <xf numFmtId="0" fontId="12" fillId="0" borderId="3" xfId="3" applyNumberFormat="1" applyFont="1" applyFill="1" applyBorder="1" applyAlignment="1" applyProtection="1">
      <alignment vertical="center" wrapText="1"/>
    </xf>
    <xf numFmtId="0" fontId="4" fillId="0" borderId="3" xfId="3" applyNumberFormat="1" applyFont="1" applyFill="1" applyBorder="1" applyAlignment="1" applyProtection="1">
      <alignment vertical="center" wrapText="1"/>
    </xf>
    <xf numFmtId="0" fontId="4" fillId="0" borderId="0" xfId="6" applyFont="1" applyBorder="1" applyAlignment="1">
      <alignment horizontal="center" vertical="center"/>
    </xf>
    <xf numFmtId="0" fontId="13" fillId="0" borderId="3" xfId="0" applyFont="1" applyBorder="1" applyAlignment="1">
      <alignment vertical="center"/>
    </xf>
    <xf numFmtId="0" fontId="13" fillId="0" borderId="4" xfId="0" applyFont="1" applyBorder="1" applyAlignment="1">
      <alignment vertical="center"/>
    </xf>
    <xf numFmtId="0" fontId="4" fillId="0" borderId="0" xfId="6" applyFont="1" applyFill="1" applyAlignment="1">
      <alignment vertical="center"/>
    </xf>
    <xf numFmtId="49" fontId="4" fillId="0" borderId="0" xfId="9" applyNumberFormat="1" applyFont="1" applyBorder="1" applyAlignment="1">
      <alignment horizontal="left" vertical="center"/>
    </xf>
    <xf numFmtId="0" fontId="4" fillId="0" borderId="0" xfId="0" applyFont="1" applyAlignment="1">
      <alignment vertical="center"/>
    </xf>
    <xf numFmtId="0" fontId="4" fillId="0" borderId="0" xfId="0" applyFont="1" applyBorder="1" applyAlignment="1">
      <alignment vertical="center"/>
    </xf>
    <xf numFmtId="0" fontId="9" fillId="0" borderId="0" xfId="0" applyFont="1" applyBorder="1" applyAlignment="1">
      <alignment vertical="center"/>
    </xf>
    <xf numFmtId="0" fontId="9" fillId="0" borderId="0" xfId="0" applyFont="1" applyAlignment="1">
      <alignment vertical="center"/>
    </xf>
    <xf numFmtId="0" fontId="4" fillId="0" borderId="0" xfId="0" applyFont="1" applyFill="1" applyBorder="1" applyAlignment="1">
      <alignment vertical="center"/>
    </xf>
    <xf numFmtId="0" fontId="9" fillId="0" borderId="0" xfId="0" applyFont="1" applyFill="1" applyBorder="1" applyAlignment="1">
      <alignment vertical="center"/>
    </xf>
    <xf numFmtId="0" fontId="4" fillId="0" borderId="1" xfId="6" applyFont="1" applyFill="1" applyBorder="1" applyAlignment="1" applyProtection="1">
      <alignment horizontal="center" vertical="center"/>
      <protection locked="0"/>
    </xf>
    <xf numFmtId="0" fontId="4" fillId="0" borderId="0" xfId="0" applyFont="1" applyFill="1" applyAlignment="1">
      <alignment vertical="center"/>
    </xf>
    <xf numFmtId="0" fontId="4" fillId="0" borderId="7" xfId="0" applyFont="1" applyFill="1" applyBorder="1" applyAlignment="1">
      <alignment vertical="center"/>
    </xf>
    <xf numFmtId="0" fontId="14" fillId="4" borderId="1" xfId="11" applyNumberFormat="1" applyFont="1" applyBorder="1" applyAlignment="1" applyProtection="1">
      <alignment horizontal="center" vertical="center"/>
    </xf>
    <xf numFmtId="0" fontId="14" fillId="5" borderId="1" xfId="12" applyNumberFormat="1" applyFont="1" applyBorder="1" applyAlignment="1" applyProtection="1">
      <alignment horizontal="center" vertical="center"/>
    </xf>
    <xf numFmtId="0" fontId="16" fillId="6" borderId="1" xfId="13" applyNumberFormat="1" applyFont="1" applyBorder="1" applyAlignment="1" applyProtection="1">
      <alignment horizontal="center" vertical="center"/>
    </xf>
    <xf numFmtId="0" fontId="18" fillId="7" borderId="1" xfId="14" applyNumberFormat="1" applyFont="1" applyBorder="1" applyAlignment="1" applyProtection="1">
      <alignment horizontal="center" vertical="center"/>
    </xf>
    <xf numFmtId="0" fontId="19" fillId="8" borderId="5" xfId="15" applyNumberFormat="1" applyFont="1" applyBorder="1" applyAlignment="1" applyProtection="1">
      <alignment horizontal="center" vertical="center"/>
    </xf>
    <xf numFmtId="0" fontId="14" fillId="4" borderId="5" xfId="11" applyNumberFormat="1" applyFont="1" applyBorder="1" applyAlignment="1" applyProtection="1">
      <alignment horizontal="center" vertical="center"/>
    </xf>
    <xf numFmtId="0" fontId="19" fillId="8" borderId="1" xfId="15" applyNumberFormat="1" applyFont="1" applyBorder="1" applyAlignment="1" applyProtection="1">
      <alignment horizontal="center" vertical="center"/>
    </xf>
    <xf numFmtId="0" fontId="9" fillId="0" borderId="0" xfId="0" applyFont="1" applyFill="1" applyAlignment="1">
      <alignment vertical="center"/>
    </xf>
    <xf numFmtId="0" fontId="12" fillId="0" borderId="0" xfId="0" applyFont="1" applyAlignment="1">
      <alignment vertical="center"/>
    </xf>
    <xf numFmtId="0" fontId="13" fillId="0" borderId="0" xfId="6" applyFont="1" applyFill="1" applyBorder="1" applyAlignment="1">
      <alignment vertical="center"/>
    </xf>
    <xf numFmtId="164" fontId="4" fillId="0" borderId="0" xfId="6" applyNumberFormat="1" applyFont="1" applyFill="1" applyBorder="1" applyAlignment="1">
      <alignment horizontal="left" vertical="center"/>
    </xf>
    <xf numFmtId="0" fontId="12" fillId="0" borderId="0" xfId="6" applyFont="1" applyFill="1" applyBorder="1" applyAlignment="1">
      <alignment vertical="center"/>
    </xf>
    <xf numFmtId="164" fontId="4" fillId="0" borderId="0" xfId="6" applyNumberFormat="1" applyFont="1" applyFill="1" applyAlignment="1">
      <alignment horizontal="left" vertical="center"/>
    </xf>
    <xf numFmtId="0" fontId="13" fillId="0" borderId="0" xfId="6" applyFont="1" applyBorder="1" applyAlignment="1">
      <alignment vertical="center"/>
    </xf>
    <xf numFmtId="164" fontId="4" fillId="0" borderId="0" xfId="6" applyNumberFormat="1" applyFont="1" applyBorder="1" applyAlignment="1">
      <alignment horizontal="left" vertical="center"/>
    </xf>
    <xf numFmtId="0" fontId="21" fillId="0" borderId="0" xfId="6" applyFont="1" applyFill="1" applyAlignment="1">
      <alignment vertical="center"/>
    </xf>
    <xf numFmtId="164" fontId="4" fillId="0" borderId="0" xfId="6" applyNumberFormat="1" applyFont="1" applyAlignment="1">
      <alignment horizontal="left" vertical="center"/>
    </xf>
    <xf numFmtId="0" fontId="12" fillId="0" borderId="0" xfId="6" applyFont="1" applyAlignment="1">
      <alignment vertical="center"/>
    </xf>
    <xf numFmtId="0" fontId="4" fillId="0" borderId="0" xfId="0" applyFont="1"/>
    <xf numFmtId="0" fontId="7" fillId="5" borderId="1" xfId="5" applyFont="1" applyFill="1" applyBorder="1" applyAlignment="1">
      <alignment horizontal="center" vertical="center" wrapText="1" shrinkToFit="1"/>
    </xf>
    <xf numFmtId="0" fontId="23" fillId="5" borderId="1" xfId="5" applyFont="1" applyFill="1" applyBorder="1" applyAlignment="1">
      <alignment vertical="center" wrapText="1" shrinkToFit="1"/>
    </xf>
    <xf numFmtId="0" fontId="9" fillId="0" borderId="0" xfId="0" applyFont="1" applyAlignment="1">
      <alignment vertical="center" wrapText="1"/>
    </xf>
    <xf numFmtId="0" fontId="7" fillId="5" borderId="2" xfId="5" applyFont="1" applyFill="1" applyBorder="1" applyAlignment="1">
      <alignment horizontal="center" vertical="center" wrapText="1" shrinkToFit="1"/>
    </xf>
    <xf numFmtId="0" fontId="12" fillId="0" borderId="1" xfId="5" applyFont="1" applyBorder="1" applyAlignment="1">
      <alignment vertical="center" wrapText="1" shrinkToFit="1"/>
    </xf>
    <xf numFmtId="0" fontId="24" fillId="0" borderId="1" xfId="5" applyFont="1" applyBorder="1" applyAlignment="1">
      <alignment horizontal="center" vertical="center" wrapText="1" shrinkToFit="1"/>
    </xf>
    <xf numFmtId="0" fontId="25" fillId="0" borderId="2" xfId="0" applyFont="1" applyBorder="1" applyAlignment="1">
      <alignment horizontal="center" vertical="center"/>
    </xf>
    <xf numFmtId="164" fontId="24" fillId="0" borderId="1" xfId="5" applyNumberFormat="1" applyFont="1" applyBorder="1" applyAlignment="1">
      <alignment horizontal="center" vertical="center" wrapText="1" shrinkToFit="1"/>
    </xf>
    <xf numFmtId="0" fontId="4" fillId="0" borderId="1" xfId="0" applyFont="1" applyBorder="1" applyAlignment="1">
      <alignment horizontal="center" vertical="center"/>
    </xf>
    <xf numFmtId="0" fontId="25" fillId="0" borderId="0" xfId="0" applyFont="1" applyBorder="1" applyAlignment="1">
      <alignment vertical="center"/>
    </xf>
    <xf numFmtId="0" fontId="12" fillId="0" borderId="1" xfId="5" applyFont="1" applyFill="1" applyBorder="1" applyAlignment="1">
      <alignment vertical="center" wrapText="1" shrinkToFit="1"/>
    </xf>
    <xf numFmtId="0" fontId="12" fillId="0" borderId="1" xfId="5" applyFont="1" applyFill="1" applyBorder="1" applyAlignment="1">
      <alignment horizontal="left" vertical="center" wrapText="1" shrinkToFit="1"/>
    </xf>
    <xf numFmtId="0" fontId="24" fillId="5" borderId="1" xfId="8" applyFont="1" applyFill="1" applyBorder="1" applyAlignment="1">
      <alignment horizontal="center" vertical="center" wrapText="1" shrinkToFit="1"/>
    </xf>
    <xf numFmtId="0" fontId="26" fillId="0" borderId="1" xfId="8" applyNumberFormat="1" applyFont="1" applyFill="1" applyBorder="1" applyAlignment="1">
      <alignment horizontal="center" vertical="center" wrapText="1" shrinkToFit="1"/>
    </xf>
    <xf numFmtId="0" fontId="26" fillId="0" borderId="1" xfId="5" applyFont="1" applyBorder="1" applyAlignment="1">
      <alignment horizontal="center" vertical="center" wrapText="1" shrinkToFit="1"/>
    </xf>
    <xf numFmtId="0" fontId="27" fillId="0" borderId="1" xfId="5" applyFont="1" applyBorder="1" applyAlignment="1">
      <alignment horizontal="center" vertical="center" wrapText="1" shrinkToFit="1"/>
    </xf>
    <xf numFmtId="0" fontId="25" fillId="0" borderId="1" xfId="5" applyFont="1" applyBorder="1" applyAlignment="1">
      <alignment horizontal="center" vertical="center" wrapText="1" shrinkToFit="1"/>
    </xf>
    <xf numFmtId="0" fontId="24" fillId="9" borderId="1" xfId="5" applyFont="1" applyFill="1" applyBorder="1" applyAlignment="1">
      <alignment horizontal="center" vertical="center" wrapText="1" shrinkToFit="1"/>
    </xf>
    <xf numFmtId="0" fontId="12" fillId="0" borderId="8" xfId="5" applyFont="1" applyBorder="1" applyAlignment="1">
      <alignment vertical="center" wrapText="1" shrinkToFit="1"/>
    </xf>
    <xf numFmtId="0" fontId="24" fillId="0" borderId="0" xfId="5" applyFont="1" applyBorder="1" applyAlignment="1">
      <alignment horizontal="center" vertical="center" wrapText="1" shrinkToFit="1"/>
    </xf>
    <xf numFmtId="0" fontId="9" fillId="0" borderId="0" xfId="0" applyFont="1"/>
    <xf numFmtId="0" fontId="28" fillId="0" borderId="0" xfId="0" applyFont="1" applyBorder="1" applyAlignment="1">
      <alignment vertical="center"/>
    </xf>
    <xf numFmtId="0" fontId="7" fillId="5" borderId="1" xfId="5" applyFont="1" applyFill="1" applyBorder="1" applyAlignment="1">
      <alignment vertical="center" wrapText="1" shrinkToFit="1"/>
    </xf>
    <xf numFmtId="0" fontId="28" fillId="0" borderId="2" xfId="0" applyFont="1" applyBorder="1" applyAlignment="1">
      <alignment horizontal="center" vertical="center"/>
    </xf>
    <xf numFmtId="0" fontId="12" fillId="0" borderId="1" xfId="9" applyFont="1" applyBorder="1" applyAlignment="1">
      <alignment vertical="center"/>
    </xf>
    <xf numFmtId="9" fontId="26" fillId="0" borderId="1" xfId="1" applyFont="1" applyFill="1" applyBorder="1" applyAlignment="1" applyProtection="1">
      <alignment horizontal="center" vertical="center" wrapText="1" shrinkToFit="1"/>
    </xf>
    <xf numFmtId="0" fontId="4" fillId="9" borderId="0" xfId="0" applyFont="1" applyFill="1" applyAlignment="1">
      <alignment vertical="center"/>
    </xf>
    <xf numFmtId="0" fontId="29" fillId="5" borderId="1" xfId="0" applyFont="1" applyFill="1" applyBorder="1" applyAlignment="1">
      <alignment horizontal="right" vertical="center"/>
    </xf>
    <xf numFmtId="0" fontId="29" fillId="5" borderId="1" xfId="0" applyFont="1" applyFill="1" applyBorder="1" applyAlignment="1">
      <alignment horizontal="center" vertical="center"/>
    </xf>
    <xf numFmtId="0" fontId="12"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vertical="top"/>
    </xf>
    <xf numFmtId="0" fontId="11" fillId="10" borderId="1" xfId="0" applyFont="1" applyFill="1" applyBorder="1" applyAlignment="1">
      <alignment horizontal="center" vertical="center"/>
    </xf>
    <xf numFmtId="0" fontId="4" fillId="0" borderId="1" xfId="6" applyFont="1" applyBorder="1" applyAlignment="1" applyProtection="1">
      <alignment horizontal="center" vertical="center"/>
      <protection locked="0"/>
    </xf>
    <xf numFmtId="0" fontId="4" fillId="0" borderId="1" xfId="0" applyNumberFormat="1" applyFont="1" applyBorder="1" applyAlignment="1">
      <alignment horizontal="right" vertical="center"/>
    </xf>
    <xf numFmtId="10" fontId="4" fillId="0" borderId="1" xfId="0" applyNumberFormat="1" applyFont="1" applyBorder="1" applyAlignment="1">
      <alignment horizontal="right" vertical="center"/>
    </xf>
    <xf numFmtId="0" fontId="4" fillId="0" borderId="9" xfId="0" applyFont="1" applyBorder="1" applyAlignment="1">
      <alignment horizontal="left" vertical="center"/>
    </xf>
    <xf numFmtId="0" fontId="4" fillId="0" borderId="6" xfId="0" applyFont="1" applyBorder="1" applyAlignment="1">
      <alignment horizontal="left" vertical="center"/>
    </xf>
    <xf numFmtId="0" fontId="4" fillId="0" borderId="10" xfId="0" applyFont="1" applyBorder="1" applyAlignment="1">
      <alignment horizontal="left" vertical="center"/>
    </xf>
    <xf numFmtId="0" fontId="11" fillId="10" borderId="1" xfId="0" applyNumberFormat="1" applyFont="1" applyFill="1" applyBorder="1" applyAlignment="1">
      <alignment horizontal="right" vertical="center"/>
    </xf>
    <xf numFmtId="0" fontId="12" fillId="10" borderId="1" xfId="0" applyFont="1" applyFill="1" applyBorder="1" applyAlignment="1">
      <alignment horizontal="left" vertical="center"/>
    </xf>
    <xf numFmtId="0" fontId="11" fillId="10" borderId="1" xfId="0" applyFont="1" applyFill="1" applyBorder="1" applyAlignment="1">
      <alignment horizontal="left" vertical="center"/>
    </xf>
    <xf numFmtId="0" fontId="12" fillId="10" borderId="1" xfId="0" applyFont="1" applyFill="1" applyBorder="1" applyAlignment="1">
      <alignment horizontal="left" vertical="top"/>
    </xf>
    <xf numFmtId="0" fontId="26" fillId="0" borderId="1" xfId="0" applyNumberFormat="1" applyFont="1" applyFill="1" applyBorder="1" applyAlignment="1">
      <alignment horizontal="left" vertical="center"/>
    </xf>
    <xf numFmtId="0" fontId="4" fillId="0" borderId="1" xfId="0" applyFont="1" applyFill="1" applyBorder="1" applyAlignment="1">
      <alignment vertical="center"/>
    </xf>
    <xf numFmtId="0" fontId="2" fillId="0" borderId="0" xfId="0" applyFont="1" applyAlignment="1">
      <alignment vertical="center"/>
    </xf>
    <xf numFmtId="0" fontId="7" fillId="5" borderId="1" xfId="0" applyFont="1" applyFill="1" applyBorder="1" applyAlignment="1">
      <alignment horizontal="center" vertical="center"/>
    </xf>
    <xf numFmtId="0" fontId="7" fillId="5" borderId="1" xfId="7" applyFont="1" applyFill="1" applyBorder="1" applyAlignment="1">
      <alignment horizontal="center" vertical="center" wrapText="1" shrinkToFit="1"/>
    </xf>
    <xf numFmtId="0" fontId="7" fillId="5" borderId="5" xfId="7" applyFont="1" applyFill="1" applyBorder="1" applyAlignment="1">
      <alignment horizontal="center" vertical="center" wrapText="1" shrinkToFit="1"/>
    </xf>
    <xf numFmtId="0" fontId="4" fillId="0" borderId="5" xfId="7" applyFont="1" applyBorder="1" applyAlignment="1">
      <alignment horizontal="center" vertical="center" wrapText="1" shrinkToFit="1"/>
    </xf>
    <xf numFmtId="0" fontId="4" fillId="0" borderId="11" xfId="0" applyFont="1" applyBorder="1" applyAlignment="1">
      <alignment horizontal="center" vertical="center"/>
    </xf>
    <xf numFmtId="0" fontId="31" fillId="0" borderId="11" xfId="2" applyNumberFormat="1" applyFont="1" applyFill="1" applyBorder="1" applyAlignment="1" applyProtection="1">
      <alignment horizontal="center" vertical="center"/>
    </xf>
    <xf numFmtId="0" fontId="4" fillId="0" borderId="3" xfId="7" applyFont="1" applyBorder="1" applyAlignment="1">
      <alignment horizontal="center" vertical="center" wrapText="1" shrinkToFit="1"/>
    </xf>
    <xf numFmtId="0" fontId="4" fillId="0" borderId="3" xfId="0" applyFont="1" applyBorder="1" applyAlignment="1">
      <alignment horizontal="center" vertical="center"/>
    </xf>
    <xf numFmtId="0" fontId="31" fillId="0" borderId="3" xfId="2" applyNumberFormat="1" applyFont="1" applyFill="1" applyBorder="1" applyAlignment="1" applyProtection="1">
      <alignment horizontal="center" vertical="center"/>
    </xf>
    <xf numFmtId="0" fontId="4" fillId="0" borderId="3" xfId="7" applyFont="1" applyBorder="1" applyAlignment="1">
      <alignment horizontal="center" vertical="center" wrapText="1"/>
    </xf>
    <xf numFmtId="0" fontId="33" fillId="0" borderId="5" xfId="7" applyFont="1" applyBorder="1" applyAlignment="1">
      <alignment horizontal="center" vertical="center" wrapText="1"/>
    </xf>
    <xf numFmtId="0" fontId="2" fillId="0" borderId="0" xfId="0" applyFont="1" applyBorder="1" applyAlignment="1">
      <alignment vertical="center"/>
    </xf>
    <xf numFmtId="0" fontId="4" fillId="0" borderId="3" xfId="0" applyFont="1" applyBorder="1" applyAlignment="1">
      <alignment vertical="center"/>
    </xf>
    <xf numFmtId="0" fontId="4" fillId="0" borderId="4" xfId="7" applyFont="1" applyBorder="1" applyAlignment="1">
      <alignment horizontal="center" vertical="center" wrapText="1" shrinkToFit="1"/>
    </xf>
    <xf numFmtId="0" fontId="4" fillId="0" borderId="4" xfId="0" applyFont="1" applyBorder="1" applyAlignment="1">
      <alignment horizontal="center" vertical="center"/>
    </xf>
    <xf numFmtId="0" fontId="4" fillId="0" borderId="0" xfId="7" applyFont="1" applyAlignment="1">
      <alignment horizontal="center" vertical="center" wrapText="1" shrinkToFit="1"/>
    </xf>
    <xf numFmtId="0" fontId="34" fillId="5" borderId="16" xfId="0" applyFont="1" applyFill="1" applyBorder="1" applyAlignment="1">
      <alignment horizontal="center" vertical="center"/>
    </xf>
    <xf numFmtId="0" fontId="34" fillId="5" borderId="17" xfId="0" applyFont="1" applyFill="1" applyBorder="1" applyAlignment="1">
      <alignment horizontal="center" vertical="center"/>
    </xf>
    <xf numFmtId="0" fontId="4" fillId="0" borderId="18" xfId="7" applyFont="1" applyBorder="1" applyAlignment="1">
      <alignment horizontal="center" vertical="center" wrapText="1" shrinkToFit="1"/>
    </xf>
    <xf numFmtId="0" fontId="4" fillId="0" borderId="2" xfId="7" applyFont="1" applyBorder="1" applyAlignment="1">
      <alignment horizontal="center" vertical="center" wrapText="1" shrinkToFit="1"/>
    </xf>
    <xf numFmtId="0" fontId="4" fillId="0" borderId="19" xfId="7" applyFont="1" applyBorder="1" applyAlignment="1">
      <alignment horizontal="center" vertical="center" wrapText="1" shrinkToFit="1"/>
    </xf>
    <xf numFmtId="0" fontId="34" fillId="5" borderId="2" xfId="0" applyFont="1" applyFill="1" applyBorder="1" applyAlignment="1">
      <alignment horizontal="center" vertical="center"/>
    </xf>
    <xf numFmtId="0" fontId="34" fillId="5" borderId="19" xfId="0" applyFont="1" applyFill="1" applyBorder="1" applyAlignment="1">
      <alignment horizontal="center" vertical="center"/>
    </xf>
    <xf numFmtId="0" fontId="35" fillId="10" borderId="18" xfId="0" applyFont="1" applyFill="1" applyBorder="1" applyAlignment="1">
      <alignment horizontal="center" vertical="center"/>
    </xf>
    <xf numFmtId="0" fontId="35" fillId="10" borderId="2" xfId="0" applyFont="1" applyFill="1" applyBorder="1" applyAlignment="1">
      <alignment horizontal="center" vertical="center"/>
    </xf>
    <xf numFmtId="0" fontId="35" fillId="10" borderId="19" xfId="0" applyFont="1" applyFill="1" applyBorder="1" applyAlignment="1">
      <alignment horizontal="center" vertical="center"/>
    </xf>
    <xf numFmtId="0" fontId="24" fillId="0" borderId="18" xfId="0" applyFont="1" applyFill="1" applyBorder="1" applyAlignment="1">
      <alignment horizontal="center" vertical="center" wrapText="1" shrinkToFit="1"/>
    </xf>
    <xf numFmtId="0" fontId="24" fillId="0" borderId="2" xfId="0" applyFont="1" applyBorder="1" applyAlignment="1">
      <alignment horizontal="center" vertical="center" wrapText="1" shrinkToFit="1"/>
    </xf>
    <xf numFmtId="164" fontId="24" fillId="0" borderId="2" xfId="0" applyNumberFormat="1" applyFont="1" applyBorder="1" applyAlignment="1">
      <alignment horizontal="center" vertical="center" wrapText="1" shrinkToFit="1"/>
    </xf>
    <xf numFmtId="0" fontId="24" fillId="5" borderId="19" xfId="8" applyFont="1" applyFill="1" applyBorder="1" applyAlignment="1">
      <alignment horizontal="center" vertical="center" wrapText="1" shrinkToFit="1"/>
    </xf>
    <xf numFmtId="0" fontId="24" fillId="9" borderId="2" xfId="0" applyFont="1" applyFill="1" applyBorder="1" applyAlignment="1">
      <alignment horizontal="center" vertical="center" wrapText="1" shrinkToFit="1"/>
    </xf>
    <xf numFmtId="164" fontId="24" fillId="9" borderId="2" xfId="0" applyNumberFormat="1" applyFont="1" applyFill="1" applyBorder="1" applyAlignment="1">
      <alignment horizontal="center" vertical="center" wrapText="1" shrinkToFit="1"/>
    </xf>
    <xf numFmtId="0" fontId="24" fillId="9" borderId="19" xfId="8" applyFont="1" applyFill="1" applyBorder="1" applyAlignment="1">
      <alignment horizontal="center" vertical="center" wrapText="1" shrinkToFit="1"/>
    </xf>
    <xf numFmtId="0" fontId="24" fillId="0" borderId="20" xfId="0" applyFont="1" applyFill="1" applyBorder="1" applyAlignment="1">
      <alignment horizontal="center" vertical="center" wrapText="1" shrinkToFit="1"/>
    </xf>
    <xf numFmtId="0" fontId="24" fillId="9" borderId="21" xfId="0" applyFont="1" applyFill="1" applyBorder="1" applyAlignment="1">
      <alignment horizontal="center" vertical="center" wrapText="1" shrinkToFit="1"/>
    </xf>
    <xf numFmtId="164" fontId="24" fillId="9" borderId="21" xfId="0" applyNumberFormat="1" applyFont="1" applyFill="1" applyBorder="1" applyAlignment="1">
      <alignment horizontal="center" vertical="center" wrapText="1" shrinkToFit="1"/>
    </xf>
    <xf numFmtId="0" fontId="24" fillId="9" borderId="22" xfId="8" applyFont="1" applyFill="1" applyBorder="1" applyAlignment="1">
      <alignment horizontal="center" vertical="center" wrapText="1" shrinkToFit="1"/>
    </xf>
    <xf numFmtId="0" fontId="24" fillId="0" borderId="0" xfId="0" applyFont="1" applyAlignment="1">
      <alignment horizontal="center" vertical="center" wrapText="1" shrinkToFit="1"/>
    </xf>
    <xf numFmtId="0" fontId="32" fillId="0" borderId="1" xfId="2" applyNumberFormat="1" applyFill="1" applyBorder="1" applyAlignment="1" applyProtection="1">
      <alignment vertical="center"/>
    </xf>
    <xf numFmtId="0" fontId="4" fillId="0" borderId="1" xfId="6" applyFont="1" applyFill="1" applyBorder="1" applyAlignment="1">
      <alignment horizontal="left" vertical="top" wrapText="1"/>
    </xf>
    <xf numFmtId="0" fontId="11" fillId="10" borderId="1" xfId="0" applyFont="1" applyFill="1" applyBorder="1" applyAlignment="1">
      <alignment horizontal="left" vertical="top" wrapText="1"/>
    </xf>
    <xf numFmtId="0" fontId="12" fillId="10" borderId="1" xfId="0" applyFont="1" applyFill="1" applyBorder="1" applyAlignment="1">
      <alignment horizontal="left" vertical="top" wrapText="1"/>
    </xf>
    <xf numFmtId="0" fontId="12" fillId="10" borderId="1" xfId="0" applyFont="1" applyFill="1" applyBorder="1" applyAlignment="1">
      <alignment vertical="top" wrapText="1"/>
    </xf>
    <xf numFmtId="0" fontId="37" fillId="0" borderId="1" xfId="6" applyFont="1" applyFill="1" applyBorder="1" applyAlignment="1">
      <alignment horizontal="left" vertical="top" wrapText="1"/>
    </xf>
    <xf numFmtId="49" fontId="4" fillId="0" borderId="6" xfId="9" applyNumberFormat="1" applyFont="1" applyBorder="1" applyAlignment="1">
      <alignment horizontal="left" vertical="center" wrapText="1"/>
    </xf>
    <xf numFmtId="0" fontId="7" fillId="5" borderId="1" xfId="10" applyNumberFormat="1" applyFont="1" applyFill="1" applyBorder="1" applyAlignment="1" applyProtection="1">
      <alignment horizontal="center" vertical="center" wrapText="1"/>
    </xf>
    <xf numFmtId="0" fontId="4" fillId="0" borderId="1" xfId="6" applyFont="1" applyFill="1" applyBorder="1" applyAlignment="1">
      <alignment horizontal="center" vertical="center"/>
    </xf>
    <xf numFmtId="49" fontId="4" fillId="0" borderId="1" xfId="9" applyNumberFormat="1" applyFont="1" applyBorder="1" applyAlignment="1">
      <alignment horizontal="left" vertical="center" wrapText="1"/>
    </xf>
    <xf numFmtId="49" fontId="4" fillId="0" borderId="1" xfId="9" applyNumberFormat="1" applyFont="1" applyBorder="1" applyAlignment="1">
      <alignment horizontal="left" vertical="center"/>
    </xf>
    <xf numFmtId="49" fontId="4" fillId="0" borderId="6" xfId="9" applyNumberFormat="1" applyFont="1" applyBorder="1" applyAlignment="1">
      <alignment horizontal="left" vertical="center"/>
    </xf>
    <xf numFmtId="0" fontId="11" fillId="10" borderId="1" xfId="3" applyNumberFormat="1" applyFont="1" applyFill="1" applyBorder="1" applyAlignment="1" applyProtection="1">
      <alignment horizontal="left" vertical="center" wrapText="1" shrinkToFit="1"/>
    </xf>
    <xf numFmtId="0" fontId="4" fillId="0" borderId="3" xfId="6" applyFont="1" applyFill="1" applyBorder="1" applyAlignment="1">
      <alignment horizontal="center" vertical="center"/>
    </xf>
    <xf numFmtId="0" fontId="4" fillId="0" borderId="4" xfId="6" applyFont="1" applyFill="1" applyBorder="1" applyAlignment="1">
      <alignment horizontal="center" vertical="center"/>
    </xf>
    <xf numFmtId="0" fontId="29" fillId="5" borderId="1" xfId="0" applyFont="1" applyFill="1" applyBorder="1" applyAlignment="1">
      <alignment horizontal="right" vertical="center"/>
    </xf>
    <xf numFmtId="0" fontId="30" fillId="5" borderId="1" xfId="0" applyFont="1" applyFill="1" applyBorder="1" applyAlignment="1">
      <alignment horizontal="center" vertical="center"/>
    </xf>
    <xf numFmtId="0" fontId="29" fillId="5" borderId="1" xfId="0" applyFont="1" applyFill="1" applyBorder="1" applyAlignment="1">
      <alignment horizontal="center" vertical="center"/>
    </xf>
    <xf numFmtId="0" fontId="32" fillId="5" borderId="1" xfId="2" applyFill="1" applyBorder="1" applyAlignment="1">
      <alignment horizontal="center" vertical="center"/>
    </xf>
    <xf numFmtId="0" fontId="7" fillId="5" borderId="18" xfId="0" applyFont="1" applyFill="1" applyBorder="1" applyAlignment="1">
      <alignment horizontal="center" vertical="center"/>
    </xf>
    <xf numFmtId="0" fontId="13" fillId="0" borderId="13" xfId="7" applyFont="1" applyBorder="1" applyAlignment="1">
      <alignment horizontal="left" vertical="center" wrapText="1"/>
    </xf>
    <xf numFmtId="0" fontId="13" fillId="0" borderId="14" xfId="7" applyFont="1" applyBorder="1" applyAlignment="1">
      <alignment horizontal="left" vertical="center" wrapText="1"/>
    </xf>
    <xf numFmtId="0" fontId="4" fillId="0" borderId="5" xfId="7" applyFont="1" applyBorder="1" applyAlignment="1">
      <alignment horizontal="center" vertical="center" wrapText="1"/>
    </xf>
    <xf numFmtId="0" fontId="23" fillId="0" borderId="4" xfId="7" applyFont="1" applyBorder="1" applyAlignment="1">
      <alignment horizontal="center" vertical="center" wrapText="1" shrinkToFit="1"/>
    </xf>
    <xf numFmtId="0" fontId="7" fillId="5" borderId="15" xfId="0" applyFont="1" applyFill="1" applyBorder="1" applyAlignment="1">
      <alignment horizontal="center" vertical="center"/>
    </xf>
    <xf numFmtId="0" fontId="12" fillId="0" borderId="10" xfId="7" applyFont="1" applyBorder="1" applyAlignment="1">
      <alignment horizontal="center" vertical="center" wrapText="1" shrinkToFit="1"/>
    </xf>
    <xf numFmtId="0" fontId="13" fillId="0" borderId="12" xfId="7" applyFont="1" applyBorder="1" applyAlignment="1">
      <alignment horizontal="left" vertical="center" wrapText="1"/>
    </xf>
    <xf numFmtId="0" fontId="13" fillId="0" borderId="13" xfId="7" applyFont="1" applyBorder="1" applyAlignment="1">
      <alignment horizontal="center" vertical="center" wrapText="1"/>
    </xf>
    <xf numFmtId="0" fontId="7" fillId="5" borderId="1" xfId="7" applyFont="1" applyFill="1" applyBorder="1" applyAlignment="1">
      <alignment horizontal="center" vertical="center" wrapText="1" shrinkToFit="1"/>
    </xf>
    <xf numFmtId="0" fontId="12" fillId="0" borderId="1" xfId="7" applyFont="1" applyBorder="1" applyAlignment="1">
      <alignment horizontal="center" vertical="center" wrapText="1" shrinkToFit="1"/>
    </xf>
    <xf numFmtId="0" fontId="13" fillId="0" borderId="3" xfId="7" applyFont="1" applyBorder="1" applyAlignment="1">
      <alignment horizontal="left" vertical="center" wrapText="1"/>
    </xf>
  </cellXfs>
  <cellStyles count="16">
    <cellStyle name="20% - Accent4 2" xfId="3" xr:uid="{00000000-0005-0000-0000-000000000000}"/>
    <cellStyle name="Excel_BuiltIn_Accent3" xfId="12" xr:uid="{00000000-0005-0000-0000-000001000000}"/>
    <cellStyle name="Excel_BuiltIn_Accent4" xfId="10" xr:uid="{00000000-0005-0000-0000-000002000000}"/>
    <cellStyle name="Excel_BuiltIn_Accent6" xfId="14" xr:uid="{00000000-0005-0000-0000-000003000000}"/>
    <cellStyle name="Excel_BuiltIn_Bad" xfId="15" xr:uid="{00000000-0005-0000-0000-000004000000}"/>
    <cellStyle name="Excel_BuiltIn_Good" xfId="11" xr:uid="{00000000-0005-0000-0000-000005000000}"/>
    <cellStyle name="Excel_BuiltIn_Neutral" xfId="13" xr:uid="{00000000-0005-0000-0000-000006000000}"/>
    <cellStyle name="Hyperlink" xfId="2" builtinId="8"/>
    <cellStyle name="Normal" xfId="0" builtinId="0"/>
    <cellStyle name="Normal 2" xfId="4" xr:uid="{00000000-0005-0000-0000-000009000000}"/>
    <cellStyle name="Normal 3 2" xfId="5" xr:uid="{00000000-0005-0000-0000-00000A000000}"/>
    <cellStyle name="Normal_NRA_Acceptance Sheet" xfId="6" xr:uid="{00000000-0005-0000-0000-00000B000000}"/>
    <cellStyle name="Normal_QA Example - Acceptance Sheet" xfId="7" xr:uid="{00000000-0005-0000-0000-00000C000000}"/>
    <cellStyle name="Normal_Sheet1 4" xfId="8" xr:uid="{00000000-0005-0000-0000-00000D000000}"/>
    <cellStyle name="Normal_Sheet2" xfId="9" xr:uid="{00000000-0005-0000-0000-00000E000000}"/>
    <cellStyle name="Percent" xfId="1" builtinId="5"/>
  </cellStyles>
  <dxfs count="222">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border>
        <left style="thin">
          <color indexed="23"/>
        </left>
        <right style="thin">
          <color indexed="23"/>
        </right>
        <top style="thin">
          <color indexed="23"/>
        </top>
        <bottom style="thin">
          <color indexed="23"/>
        </bottom>
      </border>
    </dxf>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59"/>
      </font>
      <fill>
        <patternFill patternType="solid">
          <fgColor indexed="31"/>
          <bgColor indexed="22"/>
        </patternFill>
      </fill>
      <border>
        <left style="thin">
          <color indexed="23"/>
        </left>
        <right style="thin">
          <color indexed="23"/>
        </right>
        <top style="thin">
          <color indexed="23"/>
        </top>
        <bottom style="thin">
          <color indexed="23"/>
        </bottom>
      </border>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border>
        <left style="thin">
          <color indexed="23"/>
        </left>
        <right style="thin">
          <color indexed="23"/>
        </right>
        <top style="thin">
          <color indexed="23"/>
        </top>
        <bottom style="thin">
          <color indexed="23"/>
        </bottom>
      </border>
    </dxf>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border>
        <left style="thin">
          <color indexed="23"/>
        </left>
        <right style="thin">
          <color indexed="23"/>
        </right>
        <top style="thin">
          <color indexed="23"/>
        </top>
        <bottom style="thin">
          <color indexed="23"/>
        </bottom>
      </border>
    </dxf>
    <dxf>
      <font>
        <b val="0"/>
        <condense val="0"/>
        <extend val="0"/>
        <color indexed="60"/>
      </font>
      <fill>
        <patternFill patternType="solid">
          <fgColor indexed="29"/>
          <bgColor indexed="45"/>
        </patternFill>
      </fill>
      <border>
        <left style="thin">
          <color indexed="23"/>
        </left>
        <right style="thin">
          <color indexed="23"/>
        </right>
        <top style="thin">
          <color indexed="23"/>
        </top>
        <bottom style="thin">
          <color indexed="23"/>
        </bottom>
      </border>
    </dxf>
    <dxf>
      <font>
        <b val="0"/>
        <condense val="0"/>
        <extend val="0"/>
        <color indexed="44"/>
      </font>
      <fill>
        <patternFill patternType="solid">
          <fgColor indexed="63"/>
          <bgColor indexed="62"/>
        </patternFill>
      </fill>
      <border>
        <left style="thin">
          <color indexed="23"/>
        </left>
        <right style="thin">
          <color indexed="23"/>
        </right>
        <top style="thin">
          <color indexed="23"/>
        </top>
        <bottom style="thin">
          <color indexed="23"/>
        </bottom>
      </border>
    </dxf>
    <dxf>
      <font>
        <b val="0"/>
        <strike val="0"/>
        <condense val="0"/>
        <extend val="0"/>
        <color indexed="46"/>
      </font>
      <fill>
        <patternFill patternType="solid">
          <fgColor indexed="28"/>
          <bgColor indexed="20"/>
        </patternFill>
      </fill>
      <border>
        <left style="thin">
          <color indexed="23"/>
        </left>
        <right style="thin">
          <color indexed="23"/>
        </right>
        <top style="thin">
          <color indexed="23"/>
        </top>
        <bottom style="thin">
          <color indexed="23"/>
        </bottom>
      </border>
    </dxf>
    <dxf>
      <font>
        <b val="0"/>
        <condense val="0"/>
        <extend val="0"/>
        <color indexed="17"/>
      </font>
      <fill>
        <patternFill patternType="solid">
          <fgColor indexed="27"/>
          <bgColor indexed="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019"/>
      <rgbColor rgb="00FF00FF"/>
      <rgbColor rgb="0000FFFF"/>
      <rgbColor rgb="00632523"/>
      <rgbColor rgb="00008000"/>
      <rgbColor rgb="00000080"/>
      <rgbColor rgb="00808000"/>
      <rgbColor rgb="00800080"/>
      <rgbColor rgb="00006100"/>
      <rgbColor rgb="00C0C0C0"/>
      <rgbColor rgb="00808080"/>
      <rgbColor rgb="009999FF"/>
      <rgbColor rgb="00963634"/>
      <rgbColor rgb="00FFFFCC"/>
      <rgbColor rgb="00C6EFCE"/>
      <rgbColor rgb="00660066"/>
      <rgbColor rgb="00DA9694"/>
      <rgbColor rgb="000066CC"/>
      <rgbColor rgb="00D8BFEB"/>
      <rgbColor rgb="00000080"/>
      <rgbColor rgb="00FF00FF"/>
      <rgbColor rgb="00FFFF00"/>
      <rgbColor rgb="0000FFFF"/>
      <rgbColor rgb="00F00000"/>
      <rgbColor rgb="00C00000"/>
      <rgbColor rgb="00625B38"/>
      <rgbColor rgb="000000FF"/>
      <rgbColor rgb="0000CCFF"/>
      <rgbColor rgb="00F2F2F2"/>
      <rgbColor rgb="00CCFFCC"/>
      <rgbColor rgb="00FFFF99"/>
      <rgbColor rgb="0099CCFF"/>
      <rgbColor rgb="00FF99CC"/>
      <rgbColor rgb="00CC99FF"/>
      <rgbColor rgb="00C3DFF9"/>
      <rgbColor rgb="004F81BD"/>
      <rgbColor rgb="0033CCCC"/>
      <rgbColor rgb="009BBB59"/>
      <rgbColor rgb="00FFC800"/>
      <rgbColor rgb="00FF8C00"/>
      <rgbColor rgb="00FF6600"/>
      <rgbColor rgb="00666699"/>
      <rgbColor rgb="008AC181"/>
      <rgbColor rgb="00363600"/>
      <rgbColor rgb="00339966"/>
      <rgbColor rgb="001E3E20"/>
      <rgbColor rgb="00333300"/>
      <rgbColor rgb="00993300"/>
      <rgbColor rgb="008064A2"/>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Project Quality Dynamics</a:t>
            </a:r>
          </a:p>
        </c:rich>
      </c:tx>
      <c:layout>
        <c:manualLayout>
          <c:xMode val="edge"/>
          <c:yMode val="edge"/>
          <c:x val="0.79360344107465075"/>
          <c:y val="2.6087856504051016E-2"/>
        </c:manualLayout>
      </c:layout>
      <c:overlay val="0"/>
      <c:spPr>
        <a:noFill/>
        <a:ln w="25400">
          <a:noFill/>
        </a:ln>
      </c:spPr>
    </c:title>
    <c:autoTitleDeleted val="0"/>
    <c:plotArea>
      <c:layout>
        <c:manualLayout>
          <c:layoutTarget val="inner"/>
          <c:xMode val="edge"/>
          <c:yMode val="edge"/>
          <c:x val="0.14679370008317241"/>
          <c:y val="0.26522654112451866"/>
          <c:w val="0.79475026685655059"/>
          <c:h val="0.66958831693730947"/>
        </c:manualLayout>
      </c:layout>
      <c:lineChart>
        <c:grouping val="standard"/>
        <c:varyColors val="0"/>
        <c:ser>
          <c:idx val="0"/>
          <c:order val="0"/>
          <c:spPr>
            <a:ln w="25400">
              <a:solidFill>
                <a:srgbClr val="666699"/>
              </a:solidFill>
              <a:prstDash val="solid"/>
            </a:ln>
          </c:spPr>
          <c:marker>
            <c:symbol val="circle"/>
            <c:size val="4"/>
            <c:spPr>
              <a:solidFill>
                <a:srgbClr val="666699"/>
              </a:solidFill>
              <a:ln>
                <a:solidFill>
                  <a:srgbClr val="666699"/>
                </a:solidFill>
                <a:prstDash val="solid"/>
              </a:ln>
            </c:spPr>
          </c:marker>
          <c:cat>
            <c:numRef>
              <c:f>'Build Info'!$B$3:$F$3</c:f>
              <c:numCache>
                <c:formatCode>General</c:formatCode>
                <c:ptCount val="5"/>
                <c:pt idx="0">
                  <c:v>1</c:v>
                </c:pt>
                <c:pt idx="1">
                  <c:v>1</c:v>
                </c:pt>
                <c:pt idx="2">
                  <c:v>2</c:v>
                </c:pt>
                <c:pt idx="3">
                  <c:v>2</c:v>
                </c:pt>
                <c:pt idx="4">
                  <c:v>2</c:v>
                </c:pt>
              </c:numCache>
            </c:numRef>
          </c:cat>
          <c:val>
            <c:numRef>
              <c:f>'Build Info'!$B$29:$F$29</c:f>
              <c:numCache>
                <c:formatCode>General</c:formatCode>
                <c:ptCount val="5"/>
                <c:pt idx="0">
                  <c:v>0</c:v>
                </c:pt>
                <c:pt idx="1">
                  <c:v>52</c:v>
                </c:pt>
                <c:pt idx="2">
                  <c:v>52</c:v>
                </c:pt>
                <c:pt idx="3">
                  <c:v>22</c:v>
                </c:pt>
                <c:pt idx="4">
                  <c:v>32</c:v>
                </c:pt>
              </c:numCache>
            </c:numRef>
          </c:val>
          <c:smooth val="1"/>
          <c:extLst>
            <c:ext xmlns:c16="http://schemas.microsoft.com/office/drawing/2014/chart" uri="{C3380CC4-5D6E-409C-BE32-E72D297353CC}">
              <c16:uniqueId val="{00000000-7D90-4058-AA04-27BA7242CFD0}"/>
            </c:ext>
          </c:extLst>
        </c:ser>
        <c:dLbls>
          <c:showLegendKey val="0"/>
          <c:showVal val="0"/>
          <c:showCatName val="0"/>
          <c:showSerName val="0"/>
          <c:showPercent val="0"/>
          <c:showBubbleSize val="0"/>
        </c:dLbls>
        <c:marker val="1"/>
        <c:smooth val="0"/>
        <c:axId val="1906455824"/>
        <c:axId val="1"/>
      </c:lineChart>
      <c:catAx>
        <c:axId val="1906455824"/>
        <c:scaling>
          <c:orientation val="minMax"/>
        </c:scaling>
        <c:delete val="1"/>
        <c:axPos val="b"/>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0"/>
        <c:axPos val="l"/>
        <c:title>
          <c:tx>
            <c:rich>
              <a:bodyPr/>
              <a:lstStyle/>
              <a:p>
                <a:pPr>
                  <a:defRPr sz="900" b="1" i="0" u="none" strike="noStrike" baseline="0">
                    <a:solidFill>
                      <a:srgbClr val="33CCCC"/>
                    </a:solidFill>
                    <a:latin typeface="Arial"/>
                    <a:ea typeface="Arial"/>
                    <a:cs typeface="Arial"/>
                  </a:defRPr>
                </a:pPr>
                <a:r>
                  <a:rPr lang="en-US"/>
                  <a:t>Defects Quantity</a:t>
                </a:r>
              </a:p>
            </c:rich>
          </c:tx>
          <c:layout>
            <c:manualLayout>
              <c:xMode val="edge"/>
              <c:yMode val="edge"/>
              <c:x val="9.1746062551982754E-2"/>
              <c:y val="0.38696987147675677"/>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6455824"/>
        <c:crossesAt val="1"/>
        <c:crossBetween val="midCat"/>
      </c:valAx>
      <c:spPr>
        <a:solidFill>
          <a:srgbClr val="FFFFFF"/>
        </a:solidFill>
        <a:ln w="25400">
          <a:noFill/>
        </a:ln>
      </c:spPr>
    </c:plotArea>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Defects Quantity Dynamics by Priority</a:t>
            </a:r>
          </a:p>
        </c:rich>
      </c:tx>
      <c:layout>
        <c:manualLayout>
          <c:xMode val="edge"/>
          <c:yMode val="edge"/>
          <c:x val="0.6626395702787975"/>
          <c:y val="2.4222234268508433E-2"/>
        </c:manualLayout>
      </c:layout>
      <c:overlay val="0"/>
      <c:spPr>
        <a:noFill/>
        <a:ln w="25400">
          <a:noFill/>
        </a:ln>
      </c:spPr>
    </c:title>
    <c:autoTitleDeleted val="0"/>
    <c:plotArea>
      <c:layout>
        <c:manualLayout>
          <c:layoutTarget val="inner"/>
          <c:xMode val="edge"/>
          <c:yMode val="edge"/>
          <c:x val="0.12955885691805408"/>
          <c:y val="0.21453978923536041"/>
          <c:w val="0.8488804270985002"/>
          <c:h val="0.56749234571934049"/>
        </c:manualLayout>
      </c:layout>
      <c:barChart>
        <c:barDir val="col"/>
        <c:grouping val="clustered"/>
        <c:varyColors val="0"/>
        <c:ser>
          <c:idx val="0"/>
          <c:order val="0"/>
          <c:tx>
            <c:strRef>
              <c:f>'Build Info'!$A$51:$A$51</c:f>
              <c:strCache>
                <c:ptCount val="1"/>
                <c:pt idx="0">
                  <c:v>Critical</c:v>
                </c:pt>
              </c:strCache>
            </c:strRef>
          </c:tx>
          <c:spPr>
            <a:solidFill>
              <a:srgbClr val="C00000"/>
            </a:solidFill>
            <a:ln w="25400">
              <a:noFill/>
            </a:ln>
          </c:spPr>
          <c:invertIfNegative val="0"/>
          <c:cat>
            <c:numRef>
              <c:f>'Build Info'!$B$3:$F$3</c:f>
              <c:numCache>
                <c:formatCode>General</c:formatCode>
                <c:ptCount val="5"/>
                <c:pt idx="0">
                  <c:v>1</c:v>
                </c:pt>
                <c:pt idx="1">
                  <c:v>1</c:v>
                </c:pt>
                <c:pt idx="2">
                  <c:v>2</c:v>
                </c:pt>
                <c:pt idx="3">
                  <c:v>2</c:v>
                </c:pt>
                <c:pt idx="4">
                  <c:v>2</c:v>
                </c:pt>
              </c:numCache>
            </c:numRef>
          </c:cat>
          <c:val>
            <c:numRef>
              <c:f>'Build Info'!$B$51:$F$51</c:f>
              <c:numCache>
                <c:formatCode>General</c:formatCode>
                <c:ptCount val="5"/>
                <c:pt idx="0">
                  <c:v>0</c:v>
                </c:pt>
                <c:pt idx="1">
                  <c:v>1</c:v>
                </c:pt>
                <c:pt idx="2">
                  <c:v>1</c:v>
                </c:pt>
                <c:pt idx="3">
                  <c:v>0</c:v>
                </c:pt>
                <c:pt idx="4">
                  <c:v>0</c:v>
                </c:pt>
              </c:numCache>
            </c:numRef>
          </c:val>
          <c:extLst>
            <c:ext xmlns:c16="http://schemas.microsoft.com/office/drawing/2014/chart" uri="{C3380CC4-5D6E-409C-BE32-E72D297353CC}">
              <c16:uniqueId val="{00000000-8333-49FF-9E7D-428D7D7F3594}"/>
            </c:ext>
          </c:extLst>
        </c:ser>
        <c:ser>
          <c:idx val="1"/>
          <c:order val="1"/>
          <c:tx>
            <c:strRef>
              <c:f>'Build Info'!$A$52:$A$52</c:f>
              <c:strCache>
                <c:ptCount val="1"/>
                <c:pt idx="0">
                  <c:v>Major</c:v>
                </c:pt>
              </c:strCache>
            </c:strRef>
          </c:tx>
          <c:spPr>
            <a:solidFill>
              <a:srgbClr val="F00000"/>
            </a:solidFill>
            <a:ln w="25400">
              <a:noFill/>
            </a:ln>
          </c:spPr>
          <c:invertIfNegative val="0"/>
          <c:cat>
            <c:numRef>
              <c:f>'Build Info'!$B$3:$F$3</c:f>
              <c:numCache>
                <c:formatCode>General</c:formatCode>
                <c:ptCount val="5"/>
                <c:pt idx="0">
                  <c:v>1</c:v>
                </c:pt>
                <c:pt idx="1">
                  <c:v>1</c:v>
                </c:pt>
                <c:pt idx="2">
                  <c:v>2</c:v>
                </c:pt>
                <c:pt idx="3">
                  <c:v>2</c:v>
                </c:pt>
                <c:pt idx="4">
                  <c:v>2</c:v>
                </c:pt>
              </c:numCache>
            </c:numRef>
          </c:cat>
          <c:val>
            <c:numRef>
              <c:f>'Build Info'!$B$52:$F$52</c:f>
              <c:numCache>
                <c:formatCode>General</c:formatCode>
                <c:ptCount val="5"/>
                <c:pt idx="0">
                  <c:v>0</c:v>
                </c:pt>
                <c:pt idx="1">
                  <c:v>2</c:v>
                </c:pt>
                <c:pt idx="2">
                  <c:v>2</c:v>
                </c:pt>
                <c:pt idx="3">
                  <c:v>0</c:v>
                </c:pt>
                <c:pt idx="4">
                  <c:v>0</c:v>
                </c:pt>
              </c:numCache>
            </c:numRef>
          </c:val>
          <c:extLst>
            <c:ext xmlns:c16="http://schemas.microsoft.com/office/drawing/2014/chart" uri="{C3380CC4-5D6E-409C-BE32-E72D297353CC}">
              <c16:uniqueId val="{00000001-8333-49FF-9E7D-428D7D7F3594}"/>
            </c:ext>
          </c:extLst>
        </c:ser>
        <c:ser>
          <c:idx val="2"/>
          <c:order val="2"/>
          <c:tx>
            <c:strRef>
              <c:f>'Build Info'!$A$53:$A$53</c:f>
              <c:strCache>
                <c:ptCount val="1"/>
                <c:pt idx="0">
                  <c:v>Average</c:v>
                </c:pt>
              </c:strCache>
            </c:strRef>
          </c:tx>
          <c:spPr>
            <a:solidFill>
              <a:srgbClr val="FF8C00"/>
            </a:solidFill>
            <a:ln w="25400">
              <a:noFill/>
            </a:ln>
          </c:spPr>
          <c:invertIfNegative val="0"/>
          <c:cat>
            <c:numRef>
              <c:f>'Build Info'!$B$3:$F$3</c:f>
              <c:numCache>
                <c:formatCode>General</c:formatCode>
                <c:ptCount val="5"/>
                <c:pt idx="0">
                  <c:v>1</c:v>
                </c:pt>
                <c:pt idx="1">
                  <c:v>1</c:v>
                </c:pt>
                <c:pt idx="2">
                  <c:v>2</c:v>
                </c:pt>
                <c:pt idx="3">
                  <c:v>2</c:v>
                </c:pt>
                <c:pt idx="4">
                  <c:v>2</c:v>
                </c:pt>
              </c:numCache>
            </c:numRef>
          </c:cat>
          <c:val>
            <c:numRef>
              <c:f>'Build Info'!$B$53:$F$53</c:f>
              <c:numCache>
                <c:formatCode>General</c:formatCode>
                <c:ptCount val="5"/>
                <c:pt idx="0">
                  <c:v>0</c:v>
                </c:pt>
                <c:pt idx="1">
                  <c:v>18</c:v>
                </c:pt>
                <c:pt idx="2">
                  <c:v>18</c:v>
                </c:pt>
                <c:pt idx="3">
                  <c:v>10</c:v>
                </c:pt>
                <c:pt idx="4">
                  <c:v>17</c:v>
                </c:pt>
              </c:numCache>
            </c:numRef>
          </c:val>
          <c:extLst>
            <c:ext xmlns:c16="http://schemas.microsoft.com/office/drawing/2014/chart" uri="{C3380CC4-5D6E-409C-BE32-E72D297353CC}">
              <c16:uniqueId val="{00000002-8333-49FF-9E7D-428D7D7F3594}"/>
            </c:ext>
          </c:extLst>
        </c:ser>
        <c:ser>
          <c:idx val="3"/>
          <c:order val="3"/>
          <c:tx>
            <c:strRef>
              <c:f>'Build Info'!$A$54:$A$54</c:f>
              <c:strCache>
                <c:ptCount val="1"/>
                <c:pt idx="0">
                  <c:v>Minor</c:v>
                </c:pt>
              </c:strCache>
            </c:strRef>
          </c:tx>
          <c:spPr>
            <a:solidFill>
              <a:srgbClr val="FFC800"/>
            </a:solidFill>
            <a:ln w="25400">
              <a:noFill/>
            </a:ln>
          </c:spPr>
          <c:invertIfNegative val="0"/>
          <c:cat>
            <c:numRef>
              <c:f>'Build Info'!$B$3:$F$3</c:f>
              <c:numCache>
                <c:formatCode>General</c:formatCode>
                <c:ptCount val="5"/>
                <c:pt idx="0">
                  <c:v>1</c:v>
                </c:pt>
                <c:pt idx="1">
                  <c:v>1</c:v>
                </c:pt>
                <c:pt idx="2">
                  <c:v>2</c:v>
                </c:pt>
                <c:pt idx="3">
                  <c:v>2</c:v>
                </c:pt>
                <c:pt idx="4">
                  <c:v>2</c:v>
                </c:pt>
              </c:numCache>
            </c:numRef>
          </c:cat>
          <c:val>
            <c:numRef>
              <c:f>'Build Info'!$B$54:$F$54</c:f>
              <c:numCache>
                <c:formatCode>General</c:formatCode>
                <c:ptCount val="5"/>
                <c:pt idx="0">
                  <c:v>0</c:v>
                </c:pt>
                <c:pt idx="1">
                  <c:v>26</c:v>
                </c:pt>
                <c:pt idx="2">
                  <c:v>26</c:v>
                </c:pt>
                <c:pt idx="3">
                  <c:v>12</c:v>
                </c:pt>
                <c:pt idx="4">
                  <c:v>15</c:v>
                </c:pt>
              </c:numCache>
            </c:numRef>
          </c:val>
          <c:extLst>
            <c:ext xmlns:c16="http://schemas.microsoft.com/office/drawing/2014/chart" uri="{C3380CC4-5D6E-409C-BE32-E72D297353CC}">
              <c16:uniqueId val="{00000003-8333-49FF-9E7D-428D7D7F3594}"/>
            </c:ext>
          </c:extLst>
        </c:ser>
        <c:ser>
          <c:idx val="4"/>
          <c:order val="4"/>
          <c:tx>
            <c:strRef>
              <c:f>'Build Info'!$A$55:$A$55</c:f>
              <c:strCache>
                <c:ptCount val="1"/>
                <c:pt idx="0">
                  <c:v>Enhancement</c:v>
                </c:pt>
              </c:strCache>
            </c:strRef>
          </c:tx>
          <c:spPr>
            <a:solidFill>
              <a:srgbClr val="FFF019"/>
            </a:solidFill>
            <a:ln w="25400">
              <a:noFill/>
            </a:ln>
          </c:spPr>
          <c:invertIfNegative val="0"/>
          <c:cat>
            <c:numRef>
              <c:f>'Build Info'!$B$3:$F$3</c:f>
              <c:numCache>
                <c:formatCode>General</c:formatCode>
                <c:ptCount val="5"/>
                <c:pt idx="0">
                  <c:v>1</c:v>
                </c:pt>
                <c:pt idx="1">
                  <c:v>1</c:v>
                </c:pt>
                <c:pt idx="2">
                  <c:v>2</c:v>
                </c:pt>
                <c:pt idx="3">
                  <c:v>2</c:v>
                </c:pt>
                <c:pt idx="4">
                  <c:v>2</c:v>
                </c:pt>
              </c:numCache>
            </c:numRef>
          </c:cat>
          <c:val>
            <c:numRef>
              <c:f>'Build Info'!$B$55:$F$55</c:f>
              <c:numCache>
                <c:formatCode>General</c:formatCode>
                <c:ptCount val="5"/>
                <c:pt idx="0">
                  <c:v>0</c:v>
                </c:pt>
                <c:pt idx="1">
                  <c:v>5</c:v>
                </c:pt>
                <c:pt idx="2">
                  <c:v>5</c:v>
                </c:pt>
                <c:pt idx="3">
                  <c:v>0</c:v>
                </c:pt>
                <c:pt idx="4">
                  <c:v>0</c:v>
                </c:pt>
              </c:numCache>
            </c:numRef>
          </c:val>
          <c:extLst>
            <c:ext xmlns:c16="http://schemas.microsoft.com/office/drawing/2014/chart" uri="{C3380CC4-5D6E-409C-BE32-E72D297353CC}">
              <c16:uniqueId val="{00000004-8333-49FF-9E7D-428D7D7F3594}"/>
            </c:ext>
          </c:extLst>
        </c:ser>
        <c:dLbls>
          <c:showLegendKey val="0"/>
          <c:showVal val="0"/>
          <c:showCatName val="0"/>
          <c:showSerName val="0"/>
          <c:showPercent val="0"/>
          <c:showBubbleSize val="0"/>
        </c:dLbls>
        <c:gapWidth val="150"/>
        <c:axId val="1906446672"/>
        <c:axId val="1"/>
      </c:barChart>
      <c:catAx>
        <c:axId val="190644667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Build Number</a:t>
                </a:r>
              </a:p>
            </c:rich>
          </c:tx>
          <c:layout>
            <c:manualLayout>
              <c:xMode val="edge"/>
              <c:yMode val="edge"/>
              <c:x val="0.49934142770500012"/>
              <c:y val="0.88930202957238114"/>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auto val="1"/>
        <c:lblAlgn val="ctr"/>
        <c:lblOffset val="100"/>
        <c:tickLblSkip val="1"/>
        <c:tickMarkSkip val="1"/>
        <c:noMultiLvlLbl val="0"/>
      </c:catAx>
      <c:valAx>
        <c:axId val="1"/>
        <c:scaling>
          <c:orientation val="minMax"/>
        </c:scaling>
        <c:delete val="0"/>
        <c:axPos val="l"/>
        <c:title>
          <c:tx>
            <c:rich>
              <a:bodyPr/>
              <a:lstStyle/>
              <a:p>
                <a:pPr>
                  <a:defRPr sz="900" b="1" i="0" u="none" strike="noStrike" baseline="0">
                    <a:solidFill>
                      <a:srgbClr val="000000"/>
                    </a:solidFill>
                    <a:latin typeface="Arial"/>
                    <a:ea typeface="Arial"/>
                    <a:cs typeface="Arial"/>
                  </a:defRPr>
                </a:pPr>
                <a:r>
                  <a:rPr lang="en-US"/>
                  <a:t>Defects Quantity</a:t>
                </a:r>
              </a:p>
            </c:rich>
          </c:tx>
          <c:layout>
            <c:manualLayout>
              <c:xMode val="edge"/>
              <c:yMode val="edge"/>
              <c:x val="6.4779428459027039E-2"/>
              <c:y val="0.3287303222154716"/>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6446672"/>
        <c:crossesAt val="1"/>
        <c:crossBetween val="between"/>
      </c:valAx>
      <c:spPr>
        <a:solidFill>
          <a:srgbClr val="FFFFFF"/>
        </a:solidFill>
        <a:ln w="25400">
          <a:noFill/>
        </a:ln>
      </c:spPr>
    </c:plotArea>
    <c:legend>
      <c:legendPos val="r"/>
      <c:layout>
        <c:manualLayout>
          <c:xMode val="edge"/>
          <c:yMode val="edge"/>
          <c:x val="6.7478571311486504E-3"/>
          <c:y val="0.27336521531602376"/>
          <c:w val="8.5022999852472997E-2"/>
          <c:h val="0.41869862092707438"/>
        </c:manualLayout>
      </c:layout>
      <c:overlay val="0"/>
      <c:spPr>
        <a:noFill/>
        <a:ln w="25400">
          <a:noFill/>
        </a:ln>
      </c:spPr>
      <c:txPr>
        <a:bodyPr/>
        <a:lstStyle/>
        <a:p>
          <a:pPr>
            <a:defRPr sz="7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Defects Quantity vs. Project Size Dynamics</a:t>
            </a:r>
          </a:p>
        </c:rich>
      </c:tx>
      <c:layout>
        <c:manualLayout>
          <c:xMode val="edge"/>
          <c:yMode val="edge"/>
          <c:x val="0.66629814957381384"/>
          <c:y val="2.9305055751121661E-2"/>
        </c:manualLayout>
      </c:layout>
      <c:overlay val="0"/>
      <c:spPr>
        <a:noFill/>
        <a:ln w="25400">
          <a:noFill/>
        </a:ln>
      </c:spPr>
    </c:title>
    <c:autoTitleDeleted val="0"/>
    <c:plotArea>
      <c:layout>
        <c:manualLayout>
          <c:layoutTarget val="inner"/>
          <c:xMode val="edge"/>
          <c:yMode val="edge"/>
          <c:x val="0.150529704544697"/>
          <c:y val="0.25275610585342434"/>
          <c:w val="0.79699060623277562"/>
          <c:h val="0.54214353139575078"/>
        </c:manualLayout>
      </c:layout>
      <c:lineChart>
        <c:grouping val="standard"/>
        <c:varyColors val="0"/>
        <c:ser>
          <c:idx val="0"/>
          <c:order val="0"/>
          <c:spPr>
            <a:ln w="25400">
              <a:solidFill>
                <a:srgbClr val="666699"/>
              </a:solidFill>
              <a:prstDash val="solid"/>
            </a:ln>
          </c:spPr>
          <c:marker>
            <c:symbol val="circle"/>
            <c:size val="4"/>
            <c:spPr>
              <a:solidFill>
                <a:srgbClr val="666699"/>
              </a:solidFill>
              <a:ln>
                <a:solidFill>
                  <a:srgbClr val="666699"/>
                </a:solidFill>
                <a:prstDash val="solid"/>
              </a:ln>
            </c:spPr>
          </c:marker>
          <c:cat>
            <c:numRef>
              <c:f>'Build Info'!$B$3:$F$3</c:f>
              <c:numCache>
                <c:formatCode>General</c:formatCode>
                <c:ptCount val="5"/>
                <c:pt idx="0">
                  <c:v>1</c:v>
                </c:pt>
                <c:pt idx="1">
                  <c:v>1</c:v>
                </c:pt>
                <c:pt idx="2">
                  <c:v>2</c:v>
                </c:pt>
                <c:pt idx="3">
                  <c:v>2</c:v>
                </c:pt>
                <c:pt idx="4">
                  <c:v>2</c:v>
                </c:pt>
              </c:numCache>
            </c:numRef>
          </c:cat>
          <c:val>
            <c:numRef>
              <c:f>'Build Info'!$B$29:$F$29</c:f>
              <c:numCache>
                <c:formatCode>General</c:formatCode>
                <c:ptCount val="5"/>
                <c:pt idx="0">
                  <c:v>0</c:v>
                </c:pt>
                <c:pt idx="1">
                  <c:v>52</c:v>
                </c:pt>
                <c:pt idx="2">
                  <c:v>52</c:v>
                </c:pt>
                <c:pt idx="3">
                  <c:v>22</c:v>
                </c:pt>
                <c:pt idx="4">
                  <c:v>32</c:v>
                </c:pt>
              </c:numCache>
            </c:numRef>
          </c:val>
          <c:smooth val="0"/>
          <c:extLst>
            <c:ext xmlns:c16="http://schemas.microsoft.com/office/drawing/2014/chart" uri="{C3380CC4-5D6E-409C-BE32-E72D297353CC}">
              <c16:uniqueId val="{00000000-6FE2-4D03-B08B-F6ED0EA3A9F2}"/>
            </c:ext>
          </c:extLst>
        </c:ser>
        <c:dLbls>
          <c:showLegendKey val="0"/>
          <c:showVal val="0"/>
          <c:showCatName val="0"/>
          <c:showSerName val="0"/>
          <c:showPercent val="0"/>
          <c:showBubbleSize val="0"/>
        </c:dLbls>
        <c:marker val="1"/>
        <c:smooth val="0"/>
        <c:axId val="1906450416"/>
        <c:axId val="1"/>
      </c:lineChart>
      <c:catAx>
        <c:axId val="190645041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Build Number</a:t>
                </a:r>
              </a:p>
            </c:rich>
          </c:tx>
          <c:layout>
            <c:manualLayout>
              <c:xMode val="edge"/>
              <c:yMode val="edge"/>
              <c:x val="0.50176568181565673"/>
              <c:y val="0.9047935963158813"/>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auto val="1"/>
        <c:lblAlgn val="ctr"/>
        <c:lblOffset val="100"/>
        <c:tickLblSkip val="1"/>
        <c:tickMarkSkip val="1"/>
        <c:noMultiLvlLbl val="0"/>
      </c:catAx>
      <c:valAx>
        <c:axId val="1"/>
        <c:scaling>
          <c:orientation val="minMax"/>
        </c:scaling>
        <c:delete val="0"/>
        <c:axPos val="l"/>
        <c:title>
          <c:tx>
            <c:rich>
              <a:bodyPr/>
              <a:lstStyle/>
              <a:p>
                <a:pPr>
                  <a:defRPr sz="900" b="1" i="0" u="none" strike="noStrike" baseline="0">
                    <a:solidFill>
                      <a:srgbClr val="33CCCC"/>
                    </a:solidFill>
                    <a:latin typeface="Arial"/>
                    <a:ea typeface="Arial"/>
                    <a:cs typeface="Arial"/>
                  </a:defRPr>
                </a:pPr>
                <a:r>
                  <a:rPr lang="en-US"/>
                  <a:t>Defects Quantity</a:t>
                </a:r>
              </a:p>
            </c:rich>
          </c:tx>
          <c:layout>
            <c:manualLayout>
              <c:xMode val="edge"/>
              <c:yMode val="edge"/>
              <c:x val="9.4518651690856256E-2"/>
              <c:y val="0.34433440507567953"/>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6450416"/>
        <c:crossesAt val="1"/>
        <c:crossBetween val="midCat"/>
      </c:valAx>
      <c:spPr>
        <a:solidFill>
          <a:srgbClr val="FFFFFF"/>
        </a:solidFill>
        <a:ln w="25400">
          <a:noFill/>
        </a:ln>
      </c:spPr>
    </c:plotArea>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58</xdr:row>
      <xdr:rowOff>19050</xdr:rowOff>
    </xdr:from>
    <xdr:to>
      <xdr:col>6</xdr:col>
      <xdr:colOff>1038225</xdr:colOff>
      <xdr:row>72</xdr:row>
      <xdr:rowOff>76200</xdr:rowOff>
    </xdr:to>
    <xdr:graphicFrame macro="">
      <xdr:nvGraphicFramePr>
        <xdr:cNvPr id="2049" name="Chart 1">
          <a:extLst>
            <a:ext uri="{FF2B5EF4-FFF2-40B4-BE49-F238E27FC236}">
              <a16:creationId xmlns:a16="http://schemas.microsoft.com/office/drawing/2014/main" id="{5414EC77-1C41-4BFE-85D3-48FD3FFC0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428625</xdr:colOff>
      <xdr:row>72</xdr:row>
      <xdr:rowOff>104775</xdr:rowOff>
    </xdr:from>
    <xdr:to>
      <xdr:col>6</xdr:col>
      <xdr:colOff>200025</xdr:colOff>
      <xdr:row>90</xdr:row>
      <xdr:rowOff>114300</xdr:rowOff>
    </xdr:to>
    <xdr:graphicFrame macro="">
      <xdr:nvGraphicFramePr>
        <xdr:cNvPr id="2050" name="Chart 2">
          <a:extLst>
            <a:ext uri="{FF2B5EF4-FFF2-40B4-BE49-F238E27FC236}">
              <a16:creationId xmlns:a16="http://schemas.microsoft.com/office/drawing/2014/main" id="{74C72E02-2B3B-4E19-92C0-8F1DC5997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91</xdr:row>
      <xdr:rowOff>76200</xdr:rowOff>
    </xdr:from>
    <xdr:to>
      <xdr:col>6</xdr:col>
      <xdr:colOff>876300</xdr:colOff>
      <xdr:row>108</xdr:row>
      <xdr:rowOff>85725</xdr:rowOff>
    </xdr:to>
    <xdr:graphicFrame macro="">
      <xdr:nvGraphicFramePr>
        <xdr:cNvPr id="2051" name="Chart 3">
          <a:extLst>
            <a:ext uri="{FF2B5EF4-FFF2-40B4-BE49-F238E27FC236}">
              <a16:creationId xmlns:a16="http://schemas.microsoft.com/office/drawing/2014/main" id="{2B99B29E-9E70-4760-AD29-1C8A966DC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80.249.129.99:58363/" TargetMode="External"/><Relationship Id="rId1" Type="http://schemas.openxmlformats.org/officeDocument/2006/relationships/hyperlink" Target="http://80.249.129.99:58363/"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3"/>
  <sheetViews>
    <sheetView topLeftCell="A71" zoomScale="85" zoomScaleNormal="85" workbookViewId="0">
      <selection activeCell="B83" sqref="B83:C83"/>
    </sheetView>
  </sheetViews>
  <sheetFormatPr defaultRowHeight="11.25" x14ac:dyDescent="0.2"/>
  <cols>
    <col min="1" max="2" width="25.7109375" style="1" customWidth="1"/>
    <col min="3" max="3" width="150.7109375" style="1" customWidth="1"/>
    <col min="4" max="16384" width="9.140625" style="1"/>
  </cols>
  <sheetData>
    <row r="1" spans="1:17" s="4" customFormat="1" ht="49.15" customHeight="1" x14ac:dyDescent="0.2">
      <c r="A1" s="2" t="s">
        <v>0</v>
      </c>
      <c r="B1" s="3"/>
      <c r="C1" s="3"/>
      <c r="D1" s="3"/>
      <c r="E1" s="3"/>
      <c r="F1" s="3"/>
      <c r="J1" s="5"/>
    </row>
    <row r="2" spans="1:17" s="6" customFormat="1" ht="12" customHeight="1" x14ac:dyDescent="0.2">
      <c r="A2" s="143" t="s">
        <v>1</v>
      </c>
      <c r="B2" s="143"/>
      <c r="C2" s="143"/>
    </row>
    <row r="3" spans="1:17" ht="12" customHeight="1" x14ac:dyDescent="0.2">
      <c r="A3" s="149" t="s">
        <v>2</v>
      </c>
      <c r="B3" s="149"/>
      <c r="C3" s="149"/>
      <c r="D3" s="7"/>
    </row>
    <row r="4" spans="1:17" ht="12" customHeight="1" x14ac:dyDescent="0.2">
      <c r="A4" s="149" t="s">
        <v>3</v>
      </c>
      <c r="B4" s="149"/>
      <c r="C4" s="149"/>
      <c r="D4" s="7"/>
    </row>
    <row r="5" spans="1:17" ht="12" customHeight="1" x14ac:dyDescent="0.2">
      <c r="A5" s="150" t="s">
        <v>4</v>
      </c>
      <c r="B5" s="150"/>
      <c r="C5" s="150"/>
      <c r="D5" s="7"/>
    </row>
    <row r="6" spans="1:17" ht="12" customHeight="1" x14ac:dyDescent="0.2">
      <c r="A6" s="8"/>
      <c r="B6" s="9"/>
      <c r="C6" s="9"/>
    </row>
    <row r="7" spans="1:17" s="6" customFormat="1" ht="12" customHeight="1" x14ac:dyDescent="0.2">
      <c r="A7" s="143" t="s">
        <v>5</v>
      </c>
      <c r="B7" s="143"/>
      <c r="C7" s="143"/>
      <c r="D7" s="10"/>
    </row>
    <row r="8" spans="1:17" ht="12" customHeight="1" x14ac:dyDescent="0.2">
      <c r="A8" s="7"/>
      <c r="B8" s="7"/>
      <c r="C8" s="9"/>
    </row>
    <row r="9" spans="1:17" s="6" customFormat="1" ht="12" customHeight="1" x14ac:dyDescent="0.2">
      <c r="A9" s="143" t="s">
        <v>6</v>
      </c>
      <c r="B9" s="143"/>
      <c r="C9" s="143"/>
      <c r="D9" s="11"/>
      <c r="E9" s="12"/>
      <c r="F9" s="12"/>
      <c r="G9" s="12"/>
      <c r="H9" s="12"/>
      <c r="I9" s="12"/>
      <c r="J9" s="12"/>
      <c r="K9" s="12"/>
      <c r="L9" s="12"/>
      <c r="M9" s="12"/>
      <c r="N9" s="12"/>
      <c r="O9" s="12"/>
      <c r="P9" s="12"/>
      <c r="Q9" s="12"/>
    </row>
    <row r="10" spans="1:17" ht="12" customHeight="1" x14ac:dyDescent="0.2">
      <c r="A10" s="13" t="s">
        <v>7</v>
      </c>
      <c r="B10" s="146" t="s">
        <v>8</v>
      </c>
      <c r="C10" s="146"/>
      <c r="D10" s="9"/>
      <c r="E10" s="9"/>
      <c r="F10" s="9"/>
      <c r="G10" s="9"/>
      <c r="H10" s="9"/>
      <c r="I10" s="9"/>
      <c r="J10" s="9"/>
      <c r="K10" s="9"/>
      <c r="L10" s="9"/>
      <c r="M10" s="9"/>
      <c r="N10" s="9"/>
      <c r="O10" s="9"/>
      <c r="P10" s="9"/>
      <c r="Q10" s="9"/>
    </row>
    <row r="11" spans="1:17" ht="11.25" customHeight="1" x14ac:dyDescent="0.2">
      <c r="A11" s="148" t="s">
        <v>9</v>
      </c>
      <c r="B11" s="14" t="s">
        <v>10</v>
      </c>
      <c r="C11" s="15" t="s">
        <v>11</v>
      </c>
      <c r="D11" s="9"/>
      <c r="E11" s="9"/>
      <c r="F11" s="9"/>
      <c r="G11" s="9"/>
      <c r="H11" s="9"/>
      <c r="I11" s="9"/>
      <c r="J11" s="9"/>
      <c r="K11" s="9"/>
      <c r="L11" s="9"/>
      <c r="M11" s="9"/>
      <c r="N11" s="9"/>
      <c r="O11" s="9"/>
      <c r="P11" s="9"/>
      <c r="Q11" s="9"/>
    </row>
    <row r="12" spans="1:17" ht="22.5" x14ac:dyDescent="0.2">
      <c r="A12" s="148"/>
      <c r="B12" s="16" t="s">
        <v>12</v>
      </c>
      <c r="C12" s="17" t="s">
        <v>13</v>
      </c>
      <c r="D12" s="9"/>
      <c r="E12" s="9"/>
      <c r="F12" s="9"/>
      <c r="G12" s="9"/>
      <c r="H12" s="9"/>
      <c r="I12" s="9"/>
      <c r="J12" s="9"/>
      <c r="K12" s="9"/>
      <c r="L12" s="9"/>
      <c r="M12" s="9"/>
      <c r="N12" s="9"/>
      <c r="O12" s="9"/>
      <c r="P12" s="9"/>
      <c r="Q12" s="9"/>
    </row>
    <row r="13" spans="1:17" ht="33.75" x14ac:dyDescent="0.2">
      <c r="A13" s="148"/>
      <c r="B13" s="16" t="s">
        <v>14</v>
      </c>
      <c r="C13" s="17" t="s">
        <v>15</v>
      </c>
      <c r="D13" s="9"/>
      <c r="E13" s="9"/>
      <c r="F13" s="9"/>
      <c r="G13" s="9"/>
      <c r="H13" s="9"/>
      <c r="I13" s="9"/>
      <c r="J13" s="9"/>
      <c r="K13" s="9"/>
      <c r="L13" s="9"/>
      <c r="M13" s="9"/>
      <c r="N13" s="9"/>
      <c r="O13" s="9"/>
      <c r="P13" s="9"/>
      <c r="Q13" s="9"/>
    </row>
    <row r="14" spans="1:17" ht="22.5" x14ac:dyDescent="0.2">
      <c r="A14" s="148"/>
      <c r="B14" s="16" t="s">
        <v>16</v>
      </c>
      <c r="C14" s="17" t="s">
        <v>17</v>
      </c>
      <c r="D14" s="9"/>
      <c r="E14" s="9"/>
      <c r="F14" s="9"/>
      <c r="G14" s="9"/>
      <c r="H14" s="9"/>
      <c r="I14" s="9"/>
      <c r="J14" s="9"/>
      <c r="K14" s="9"/>
      <c r="L14" s="9"/>
      <c r="M14" s="9"/>
      <c r="N14" s="9"/>
      <c r="O14" s="9"/>
      <c r="P14" s="9"/>
      <c r="Q14" s="9"/>
    </row>
    <row r="15" spans="1:17" ht="22.5" x14ac:dyDescent="0.2">
      <c r="A15" s="148"/>
      <c r="B15" s="16" t="s">
        <v>18</v>
      </c>
      <c r="C15" s="17" t="s">
        <v>19</v>
      </c>
      <c r="D15" s="9"/>
      <c r="E15" s="9"/>
      <c r="F15" s="9"/>
      <c r="G15" s="9"/>
      <c r="H15" s="9"/>
      <c r="I15" s="9"/>
      <c r="J15" s="9"/>
      <c r="K15" s="9"/>
      <c r="L15" s="9"/>
      <c r="M15" s="9"/>
      <c r="N15" s="9"/>
      <c r="O15" s="9"/>
      <c r="P15" s="9"/>
      <c r="Q15" s="9"/>
    </row>
    <row r="16" spans="1:17" ht="22.5" x14ac:dyDescent="0.2">
      <c r="A16" s="148"/>
      <c r="B16" s="16" t="s">
        <v>20</v>
      </c>
      <c r="C16" s="18" t="s">
        <v>21</v>
      </c>
      <c r="D16" s="9"/>
      <c r="E16" s="9"/>
      <c r="F16" s="9"/>
      <c r="G16" s="9"/>
      <c r="H16" s="9"/>
      <c r="I16" s="9"/>
      <c r="J16" s="9"/>
      <c r="K16" s="9"/>
      <c r="L16" s="9"/>
      <c r="M16" s="9"/>
      <c r="N16" s="9"/>
      <c r="O16" s="9"/>
      <c r="P16" s="9"/>
      <c r="Q16" s="9"/>
    </row>
    <row r="17" spans="1:17" ht="12" customHeight="1" x14ac:dyDescent="0.2">
      <c r="A17" s="148"/>
      <c r="B17" s="16" t="s">
        <v>22</v>
      </c>
      <c r="C17" s="18" t="s">
        <v>23</v>
      </c>
      <c r="D17" s="9"/>
      <c r="E17" s="9"/>
      <c r="F17" s="9"/>
      <c r="G17" s="9"/>
      <c r="H17" s="9"/>
      <c r="I17" s="9"/>
      <c r="J17" s="9"/>
      <c r="K17" s="9"/>
      <c r="L17" s="9"/>
      <c r="M17" s="9"/>
      <c r="N17" s="9"/>
      <c r="O17" s="9"/>
      <c r="P17" s="9"/>
      <c r="Q17" s="9"/>
    </row>
    <row r="18" spans="1:17" ht="12" customHeight="1" x14ac:dyDescent="0.2">
      <c r="A18" s="148"/>
      <c r="B18" s="19"/>
      <c r="C18" s="20" t="s">
        <v>24</v>
      </c>
      <c r="D18" s="9"/>
      <c r="E18" s="9"/>
      <c r="F18" s="9"/>
      <c r="G18" s="9"/>
      <c r="H18" s="9"/>
      <c r="I18" s="9"/>
      <c r="J18" s="9"/>
      <c r="K18" s="9"/>
      <c r="L18" s="9"/>
      <c r="M18" s="9"/>
      <c r="N18" s="9"/>
      <c r="O18" s="9"/>
      <c r="P18" s="9"/>
      <c r="Q18" s="9"/>
    </row>
    <row r="19" spans="1:17" ht="12" customHeight="1" x14ac:dyDescent="0.2">
      <c r="A19" s="148"/>
      <c r="B19" s="19"/>
      <c r="C19" s="21" t="s">
        <v>24</v>
      </c>
      <c r="D19" s="9"/>
      <c r="E19" s="9"/>
      <c r="F19" s="9"/>
      <c r="G19" s="9"/>
      <c r="H19" s="9"/>
      <c r="I19" s="9"/>
      <c r="J19" s="9"/>
      <c r="K19" s="9"/>
      <c r="L19" s="9"/>
      <c r="M19" s="9"/>
      <c r="N19" s="9"/>
      <c r="O19" s="9"/>
      <c r="P19" s="9"/>
      <c r="Q19" s="9"/>
    </row>
    <row r="20" spans="1:17" ht="12" customHeight="1" x14ac:dyDescent="0.2">
      <c r="A20" s="13" t="s">
        <v>25</v>
      </c>
      <c r="B20" s="146" t="s">
        <v>26</v>
      </c>
      <c r="C20" s="146"/>
      <c r="D20" s="9"/>
      <c r="E20" s="9"/>
      <c r="F20" s="9"/>
      <c r="G20" s="9"/>
      <c r="H20" s="9"/>
      <c r="I20" s="9"/>
      <c r="J20" s="9"/>
      <c r="K20" s="9"/>
      <c r="L20" s="9"/>
      <c r="M20" s="9"/>
      <c r="N20" s="9"/>
      <c r="O20" s="9"/>
      <c r="P20" s="9"/>
      <c r="Q20" s="9"/>
    </row>
    <row r="21" spans="1:17" ht="12" customHeight="1" x14ac:dyDescent="0.2">
      <c r="A21" s="13" t="s">
        <v>27</v>
      </c>
      <c r="B21" s="146" t="s">
        <v>28</v>
      </c>
      <c r="C21" s="146"/>
      <c r="D21" s="9"/>
      <c r="E21" s="9"/>
      <c r="F21" s="9"/>
      <c r="G21" s="9"/>
      <c r="H21" s="9"/>
      <c r="I21" s="9"/>
      <c r="J21" s="9"/>
      <c r="K21" s="9"/>
      <c r="L21" s="9"/>
      <c r="M21" s="9"/>
      <c r="N21" s="9"/>
      <c r="O21" s="9"/>
      <c r="P21" s="9"/>
      <c r="Q21" s="9"/>
    </row>
    <row r="22" spans="1:17" x14ac:dyDescent="0.2">
      <c r="A22" s="13" t="s">
        <v>29</v>
      </c>
      <c r="B22" s="146" t="s">
        <v>30</v>
      </c>
      <c r="C22" s="146"/>
      <c r="D22" s="9"/>
      <c r="E22" s="9"/>
      <c r="F22" s="9"/>
      <c r="G22" s="9"/>
      <c r="H22" s="9"/>
      <c r="I22" s="9"/>
      <c r="J22" s="9"/>
      <c r="K22" s="9"/>
      <c r="L22" s="9"/>
      <c r="M22" s="9"/>
      <c r="N22" s="9"/>
      <c r="O22" s="9"/>
      <c r="P22" s="9"/>
      <c r="Q22" s="9"/>
    </row>
    <row r="23" spans="1:17" x14ac:dyDescent="0.2">
      <c r="A23" s="13" t="s">
        <v>31</v>
      </c>
      <c r="B23" s="146" t="s">
        <v>32</v>
      </c>
      <c r="C23" s="146"/>
      <c r="D23" s="9"/>
      <c r="E23" s="9"/>
      <c r="F23" s="9"/>
      <c r="G23" s="9"/>
      <c r="H23" s="9"/>
      <c r="I23" s="9"/>
      <c r="J23" s="9"/>
      <c r="K23" s="9"/>
      <c r="L23" s="9"/>
      <c r="M23" s="9"/>
      <c r="N23" s="9"/>
      <c r="O23" s="9"/>
      <c r="P23" s="9"/>
      <c r="Q23" s="9"/>
    </row>
    <row r="24" spans="1:17" ht="12" customHeight="1" x14ac:dyDescent="0.2">
      <c r="A24" s="13" t="s">
        <v>33</v>
      </c>
      <c r="B24" s="146" t="s">
        <v>34</v>
      </c>
      <c r="C24" s="146"/>
      <c r="D24" s="9"/>
      <c r="E24" s="9"/>
      <c r="F24" s="9"/>
      <c r="G24" s="9"/>
      <c r="H24" s="9"/>
      <c r="I24" s="9"/>
      <c r="J24" s="9"/>
      <c r="K24" s="9"/>
      <c r="L24" s="9"/>
      <c r="M24" s="9"/>
      <c r="N24" s="9"/>
      <c r="O24" s="9"/>
      <c r="P24" s="9"/>
      <c r="Q24" s="9"/>
    </row>
    <row r="25" spans="1:17" ht="12" customHeight="1" x14ac:dyDescent="0.2">
      <c r="A25" s="13" t="s">
        <v>35</v>
      </c>
      <c r="B25" s="146" t="s">
        <v>36</v>
      </c>
      <c r="C25" s="146"/>
      <c r="D25" s="9"/>
      <c r="E25" s="9"/>
      <c r="F25" s="9"/>
      <c r="G25" s="9"/>
      <c r="H25" s="9"/>
      <c r="I25" s="9"/>
      <c r="J25" s="9"/>
      <c r="K25" s="9"/>
      <c r="L25" s="9"/>
      <c r="M25" s="9"/>
      <c r="N25" s="9"/>
      <c r="O25" s="9"/>
      <c r="P25" s="9"/>
      <c r="Q25" s="9"/>
    </row>
    <row r="26" spans="1:17" ht="12" customHeight="1" x14ac:dyDescent="0.2">
      <c r="A26" s="13" t="s">
        <v>37</v>
      </c>
      <c r="B26" s="146" t="s">
        <v>38</v>
      </c>
      <c r="C26" s="146"/>
      <c r="D26" s="9"/>
      <c r="E26" s="9"/>
      <c r="F26" s="9"/>
      <c r="G26" s="9"/>
      <c r="H26" s="9"/>
      <c r="I26" s="9"/>
      <c r="J26" s="9"/>
      <c r="K26" s="9"/>
      <c r="L26" s="9"/>
      <c r="M26" s="9"/>
      <c r="N26" s="9"/>
      <c r="O26" s="9"/>
      <c r="P26" s="9"/>
      <c r="Q26" s="9"/>
    </row>
    <row r="27" spans="1:17" ht="12" customHeight="1" x14ac:dyDescent="0.2">
      <c r="A27" s="13" t="s">
        <v>39</v>
      </c>
      <c r="B27" s="146" t="s">
        <v>40</v>
      </c>
      <c r="C27" s="146"/>
      <c r="D27" s="9"/>
      <c r="E27" s="9"/>
      <c r="F27" s="9"/>
      <c r="G27" s="9"/>
      <c r="H27" s="9"/>
      <c r="I27" s="9"/>
      <c r="J27" s="9"/>
      <c r="K27" s="9"/>
      <c r="L27" s="9"/>
      <c r="M27" s="9"/>
      <c r="N27" s="9"/>
      <c r="O27" s="9"/>
      <c r="P27" s="9"/>
      <c r="Q27" s="9"/>
    </row>
    <row r="28" spans="1:17" ht="12" customHeight="1" x14ac:dyDescent="0.2">
      <c r="A28" s="13" t="s">
        <v>41</v>
      </c>
      <c r="B28" s="146" t="s">
        <v>42</v>
      </c>
      <c r="C28" s="146"/>
      <c r="D28" s="9"/>
      <c r="E28" s="9"/>
      <c r="F28" s="9"/>
      <c r="G28" s="9"/>
      <c r="H28" s="9"/>
      <c r="I28" s="9"/>
      <c r="J28" s="9"/>
      <c r="K28" s="9"/>
      <c r="L28" s="9"/>
      <c r="M28" s="9"/>
      <c r="N28" s="9"/>
      <c r="O28" s="9"/>
      <c r="P28" s="9"/>
      <c r="Q28" s="9"/>
    </row>
    <row r="29" spans="1:17" ht="12" customHeight="1" x14ac:dyDescent="0.2">
      <c r="A29" s="13" t="s">
        <v>43</v>
      </c>
      <c r="B29" s="146" t="s">
        <v>44</v>
      </c>
      <c r="C29" s="146"/>
      <c r="D29" s="8"/>
      <c r="E29" s="22"/>
      <c r="F29" s="22"/>
      <c r="G29" s="22"/>
      <c r="H29" s="22"/>
      <c r="I29" s="22"/>
      <c r="J29" s="22"/>
      <c r="K29" s="22"/>
      <c r="L29" s="22"/>
      <c r="M29" s="22"/>
      <c r="N29" s="22"/>
      <c r="O29" s="22"/>
      <c r="P29" s="22"/>
      <c r="Q29" s="22"/>
    </row>
    <row r="30" spans="1:17" ht="12" customHeight="1" x14ac:dyDescent="0.2">
      <c r="B30" s="23"/>
      <c r="C30" s="23"/>
      <c r="D30" s="8"/>
      <c r="E30" s="22"/>
      <c r="F30" s="22"/>
      <c r="G30" s="22"/>
      <c r="H30" s="22"/>
      <c r="I30" s="22"/>
      <c r="J30" s="22"/>
      <c r="K30" s="22"/>
      <c r="L30" s="22"/>
      <c r="M30" s="22"/>
      <c r="N30" s="22"/>
      <c r="O30" s="22"/>
      <c r="P30" s="22"/>
      <c r="Q30" s="22"/>
    </row>
    <row r="31" spans="1:17" ht="12" customHeight="1" x14ac:dyDescent="0.2">
      <c r="D31" s="7"/>
    </row>
    <row r="32" spans="1:17" s="6" customFormat="1" ht="12" customHeight="1" x14ac:dyDescent="0.2">
      <c r="A32" s="143" t="s">
        <v>45</v>
      </c>
      <c r="B32" s="143"/>
      <c r="C32" s="143"/>
      <c r="D32" s="10"/>
    </row>
    <row r="33" spans="1:4" ht="12" customHeight="1" x14ac:dyDescent="0.2">
      <c r="A33" s="13" t="s">
        <v>41</v>
      </c>
      <c r="B33" s="146" t="s">
        <v>46</v>
      </c>
      <c r="C33" s="146"/>
      <c r="D33" s="7"/>
    </row>
    <row r="34" spans="1:4" ht="12" customHeight="1" x14ac:dyDescent="0.2">
      <c r="A34" s="13" t="s">
        <v>47</v>
      </c>
      <c r="B34" s="146" t="s">
        <v>48</v>
      </c>
      <c r="C34" s="146"/>
      <c r="D34" s="7"/>
    </row>
    <row r="35" spans="1:4" ht="12" customHeight="1" x14ac:dyDescent="0.2">
      <c r="A35" s="13" t="s">
        <v>43</v>
      </c>
      <c r="B35" s="146" t="s">
        <v>44</v>
      </c>
      <c r="C35" s="146"/>
      <c r="D35" s="7"/>
    </row>
    <row r="36" spans="1:4" ht="12" customHeight="1" x14ac:dyDescent="0.2">
      <c r="D36" s="7"/>
    </row>
    <row r="37" spans="1:4" ht="12" customHeight="1" x14ac:dyDescent="0.2">
      <c r="D37" s="7"/>
    </row>
    <row r="38" spans="1:4" s="6" customFormat="1" ht="12" customHeight="1" x14ac:dyDescent="0.2">
      <c r="A38" s="143" t="s">
        <v>49</v>
      </c>
      <c r="B38" s="143"/>
      <c r="C38" s="143"/>
      <c r="D38" s="10"/>
    </row>
    <row r="39" spans="1:4" ht="12" customHeight="1" x14ac:dyDescent="0.2">
      <c r="A39" s="13" t="s">
        <v>50</v>
      </c>
      <c r="B39" s="146" t="s">
        <v>51</v>
      </c>
      <c r="C39" s="146"/>
      <c r="D39" s="7"/>
    </row>
    <row r="40" spans="1:4" ht="12" customHeight="1" x14ac:dyDescent="0.2">
      <c r="A40" s="13" t="s">
        <v>52</v>
      </c>
      <c r="B40" s="146" t="s">
        <v>53</v>
      </c>
      <c r="C40" s="146"/>
      <c r="D40" s="7"/>
    </row>
    <row r="41" spans="1:4" ht="12" customHeight="1" x14ac:dyDescent="0.2">
      <c r="A41" s="13" t="s">
        <v>54</v>
      </c>
      <c r="B41" s="146" t="s">
        <v>55</v>
      </c>
      <c r="C41" s="146"/>
      <c r="D41" s="7"/>
    </row>
    <row r="42" spans="1:4" ht="12" customHeight="1" x14ac:dyDescent="0.2">
      <c r="A42" s="13" t="s">
        <v>56</v>
      </c>
      <c r="B42" s="146" t="s">
        <v>57</v>
      </c>
      <c r="C42" s="146"/>
      <c r="D42" s="7"/>
    </row>
    <row r="43" spans="1:4" ht="12" customHeight="1" x14ac:dyDescent="0.2">
      <c r="A43" s="13" t="s">
        <v>58</v>
      </c>
      <c r="B43" s="146" t="s">
        <v>59</v>
      </c>
      <c r="C43" s="146"/>
      <c r="D43" s="7"/>
    </row>
    <row r="44" spans="1:4" ht="12" customHeight="1" x14ac:dyDescent="0.2">
      <c r="A44" s="13" t="s">
        <v>60</v>
      </c>
      <c r="B44" s="146" t="s">
        <v>61</v>
      </c>
      <c r="C44" s="146"/>
      <c r="D44" s="7"/>
    </row>
    <row r="45" spans="1:4" ht="12" customHeight="1" x14ac:dyDescent="0.2">
      <c r="A45" s="13" t="s">
        <v>43</v>
      </c>
      <c r="B45" s="146" t="s">
        <v>44</v>
      </c>
      <c r="C45" s="146"/>
      <c r="D45" s="7"/>
    </row>
    <row r="46" spans="1:4" ht="12" customHeight="1" x14ac:dyDescent="0.2">
      <c r="D46" s="7"/>
    </row>
    <row r="47" spans="1:4" ht="12" customHeight="1" x14ac:dyDescent="0.2">
      <c r="D47" s="7"/>
    </row>
    <row r="48" spans="1:4" s="6" customFormat="1" ht="12" customHeight="1" x14ac:dyDescent="0.2">
      <c r="A48" s="143" t="s">
        <v>62</v>
      </c>
      <c r="B48" s="143"/>
      <c r="C48" s="143"/>
      <c r="D48" s="10"/>
    </row>
    <row r="49" spans="1:23" ht="12" customHeight="1" x14ac:dyDescent="0.2">
      <c r="A49" s="13" t="s">
        <v>63</v>
      </c>
      <c r="B49" s="146" t="s">
        <v>64</v>
      </c>
      <c r="C49" s="146"/>
      <c r="D49" s="7"/>
    </row>
    <row r="50" spans="1:23" ht="12" customHeight="1" x14ac:dyDescent="0.2">
      <c r="A50" s="13" t="s">
        <v>65</v>
      </c>
      <c r="B50" s="146" t="s">
        <v>66</v>
      </c>
      <c r="C50" s="146"/>
      <c r="D50" s="7"/>
    </row>
    <row r="51" spans="1:23" ht="12" customHeight="1" x14ac:dyDescent="0.2">
      <c r="A51" s="13" t="s">
        <v>67</v>
      </c>
      <c r="B51" s="146" t="s">
        <v>68</v>
      </c>
      <c r="C51" s="146"/>
      <c r="D51" s="7"/>
    </row>
    <row r="52" spans="1:23" ht="12" customHeight="1" x14ac:dyDescent="0.2">
      <c r="A52" s="13" t="s">
        <v>69</v>
      </c>
      <c r="B52" s="146" t="s">
        <v>70</v>
      </c>
      <c r="C52" s="146"/>
      <c r="D52" s="7"/>
    </row>
    <row r="53" spans="1:23" ht="12" customHeight="1" x14ac:dyDescent="0.2">
      <c r="A53" s="13" t="s">
        <v>71</v>
      </c>
      <c r="B53" s="146" t="s">
        <v>72</v>
      </c>
      <c r="C53" s="146"/>
      <c r="D53" s="7"/>
    </row>
    <row r="54" spans="1:23" ht="12" customHeight="1" x14ac:dyDescent="0.2">
      <c r="A54" s="13" t="s">
        <v>73</v>
      </c>
      <c r="B54" s="146" t="s">
        <v>74</v>
      </c>
      <c r="C54" s="146"/>
      <c r="D54" s="7"/>
    </row>
    <row r="55" spans="1:23" ht="12" customHeight="1" x14ac:dyDescent="0.2">
      <c r="A55" s="13" t="s">
        <v>75</v>
      </c>
      <c r="B55" s="146" t="s">
        <v>76</v>
      </c>
      <c r="C55" s="146"/>
      <c r="D55" s="7"/>
    </row>
    <row r="56" spans="1:23" ht="12" customHeight="1" x14ac:dyDescent="0.2">
      <c r="A56" s="13" t="s">
        <v>77</v>
      </c>
      <c r="B56" s="146" t="s">
        <v>78</v>
      </c>
      <c r="C56" s="146"/>
      <c r="D56" s="7"/>
    </row>
    <row r="57" spans="1:23" ht="12" customHeight="1" x14ac:dyDescent="0.2">
      <c r="A57" s="13" t="s">
        <v>43</v>
      </c>
      <c r="B57" s="146" t="s">
        <v>44</v>
      </c>
      <c r="C57" s="146"/>
      <c r="D57" s="7"/>
    </row>
    <row r="58" spans="1:23" ht="12" customHeight="1" x14ac:dyDescent="0.2">
      <c r="D58" s="7"/>
    </row>
    <row r="59" spans="1:23" s="24" customFormat="1" ht="12" customHeight="1" x14ac:dyDescent="0.2">
      <c r="D59" s="25"/>
      <c r="Q59" s="1"/>
      <c r="R59" s="1"/>
      <c r="W59" s="1"/>
    </row>
    <row r="60" spans="1:23" s="27" customFormat="1" ht="12" customHeight="1" x14ac:dyDescent="0.2">
      <c r="A60" s="143" t="s">
        <v>79</v>
      </c>
      <c r="B60" s="143"/>
      <c r="C60" s="143"/>
      <c r="D60" s="26"/>
      <c r="Q60" s="6"/>
      <c r="R60" s="6"/>
      <c r="W60" s="6"/>
    </row>
    <row r="61" spans="1:23" ht="12" customHeight="1" x14ac:dyDescent="0.2">
      <c r="A61" s="13" t="s">
        <v>80</v>
      </c>
      <c r="B61" s="146" t="s">
        <v>81</v>
      </c>
      <c r="C61" s="146"/>
    </row>
    <row r="62" spans="1:23" ht="12" customHeight="1" x14ac:dyDescent="0.2">
      <c r="A62" s="13" t="s">
        <v>82</v>
      </c>
      <c r="B62" s="146" t="s">
        <v>83</v>
      </c>
      <c r="C62" s="146"/>
    </row>
    <row r="63" spans="1:23" ht="12" customHeight="1" x14ac:dyDescent="0.2">
      <c r="A63" s="13" t="s">
        <v>75</v>
      </c>
      <c r="B63" s="146" t="s">
        <v>84</v>
      </c>
      <c r="C63" s="146"/>
    </row>
    <row r="64" spans="1:23" ht="12" customHeight="1" x14ac:dyDescent="0.2">
      <c r="A64" s="13" t="s">
        <v>77</v>
      </c>
      <c r="B64" s="146" t="s">
        <v>85</v>
      </c>
      <c r="C64" s="146"/>
    </row>
    <row r="65" spans="1:23" ht="12" customHeight="1" x14ac:dyDescent="0.2">
      <c r="A65" s="13" t="s">
        <v>43</v>
      </c>
      <c r="B65" s="146" t="s">
        <v>44</v>
      </c>
      <c r="C65" s="146"/>
    </row>
    <row r="66" spans="1:23" ht="12" customHeight="1" x14ac:dyDescent="0.2">
      <c r="A66" s="24"/>
      <c r="B66" s="23"/>
      <c r="C66" s="23"/>
    </row>
    <row r="67" spans="1:23" ht="12" customHeight="1" x14ac:dyDescent="0.2">
      <c r="A67" s="24"/>
      <c r="B67" s="23"/>
      <c r="C67" s="23"/>
    </row>
    <row r="68" spans="1:23" s="6" customFormat="1" ht="12" customHeight="1" x14ac:dyDescent="0.2">
      <c r="A68" s="143" t="s">
        <v>86</v>
      </c>
      <c r="B68" s="143"/>
      <c r="C68" s="143"/>
    </row>
    <row r="69" spans="1:23" ht="12" customHeight="1" x14ac:dyDescent="0.2">
      <c r="A69" s="13" t="s">
        <v>87</v>
      </c>
      <c r="B69" s="146" t="s">
        <v>88</v>
      </c>
      <c r="C69" s="146"/>
    </row>
    <row r="70" spans="1:23" ht="12" customHeight="1" x14ac:dyDescent="0.2">
      <c r="A70" s="13" t="s">
        <v>89</v>
      </c>
      <c r="B70" s="146" t="s">
        <v>90</v>
      </c>
      <c r="C70" s="146"/>
    </row>
    <row r="71" spans="1:23" ht="12" customHeight="1" x14ac:dyDescent="0.2">
      <c r="A71" s="13" t="s">
        <v>91</v>
      </c>
      <c r="B71" s="146" t="s">
        <v>92</v>
      </c>
      <c r="C71" s="146"/>
    </row>
    <row r="72" spans="1:23" ht="12" customHeight="1" x14ac:dyDescent="0.2">
      <c r="A72" s="13" t="s">
        <v>93</v>
      </c>
      <c r="B72" s="146" t="s">
        <v>94</v>
      </c>
      <c r="C72" s="146"/>
    </row>
    <row r="73" spans="1:23" ht="12" customHeight="1" x14ac:dyDescent="0.2">
      <c r="A73" s="13" t="s">
        <v>95</v>
      </c>
      <c r="B73" s="146" t="s">
        <v>96</v>
      </c>
      <c r="C73" s="146"/>
    </row>
    <row r="74" spans="1:23" s="24" customFormat="1" ht="12" customHeight="1" x14ac:dyDescent="0.2">
      <c r="A74" s="13" t="s">
        <v>60</v>
      </c>
      <c r="B74" s="146" t="s">
        <v>61</v>
      </c>
      <c r="C74" s="146"/>
      <c r="D74" s="25"/>
      <c r="Q74" s="1"/>
      <c r="W74" s="1"/>
    </row>
    <row r="75" spans="1:23" s="24" customFormat="1" ht="12" customHeight="1" x14ac:dyDescent="0.2">
      <c r="A75" s="13" t="s">
        <v>43</v>
      </c>
      <c r="B75" s="146" t="s">
        <v>44</v>
      </c>
      <c r="C75" s="146"/>
      <c r="D75" s="28"/>
      <c r="Q75" s="1"/>
      <c r="W75" s="1"/>
    </row>
    <row r="76" spans="1:23" s="24" customFormat="1" x14ac:dyDescent="0.2">
      <c r="D76" s="28"/>
      <c r="Q76" s="1"/>
      <c r="W76" s="1"/>
    </row>
    <row r="77" spans="1:23" s="24" customFormat="1" x14ac:dyDescent="0.2">
      <c r="D77" s="28"/>
      <c r="Q77" s="1"/>
      <c r="W77" s="1"/>
    </row>
    <row r="78" spans="1:23" s="27" customFormat="1" ht="12" customHeight="1" x14ac:dyDescent="0.2">
      <c r="A78" s="143" t="s">
        <v>97</v>
      </c>
      <c r="B78" s="143"/>
      <c r="C78" s="143"/>
      <c r="D78" s="29"/>
      <c r="E78" s="6"/>
      <c r="F78" s="6"/>
      <c r="G78" s="6"/>
      <c r="H78" s="6"/>
      <c r="I78" s="6"/>
      <c r="Q78" s="6"/>
      <c r="W78" s="6"/>
    </row>
    <row r="79" spans="1:23" s="24" customFormat="1" ht="12" customHeight="1" x14ac:dyDescent="0.2">
      <c r="A79" s="30" t="s">
        <v>98</v>
      </c>
      <c r="B79" s="146" t="s">
        <v>99</v>
      </c>
      <c r="C79" s="146"/>
      <c r="D79" s="28"/>
      <c r="E79" s="1"/>
      <c r="F79" s="1"/>
      <c r="G79" s="1"/>
      <c r="H79" s="1"/>
      <c r="I79" s="1"/>
      <c r="Q79" s="1"/>
      <c r="W79" s="1"/>
    </row>
    <row r="80" spans="1:23" s="24" customFormat="1" ht="12" customHeight="1" x14ac:dyDescent="0.2">
      <c r="A80" s="30" t="s">
        <v>100</v>
      </c>
      <c r="B80" s="146" t="s">
        <v>101</v>
      </c>
      <c r="C80" s="146"/>
      <c r="D80" s="28"/>
      <c r="E80" s="1"/>
      <c r="F80" s="1"/>
      <c r="G80" s="1"/>
      <c r="H80" s="1"/>
      <c r="I80" s="1"/>
      <c r="Q80" s="1"/>
      <c r="W80" s="1"/>
    </row>
    <row r="81" spans="1:23" s="24" customFormat="1" ht="12" customHeight="1" x14ac:dyDescent="0.2">
      <c r="A81" s="30" t="s">
        <v>95</v>
      </c>
      <c r="B81" s="146" t="s">
        <v>102</v>
      </c>
      <c r="C81" s="146"/>
      <c r="D81" s="28"/>
      <c r="E81" s="1"/>
      <c r="F81" s="1"/>
      <c r="G81" s="1"/>
      <c r="H81" s="1"/>
      <c r="I81" s="1"/>
      <c r="Q81" s="1"/>
      <c r="W81" s="1"/>
    </row>
    <row r="82" spans="1:23" s="24" customFormat="1" ht="12" customHeight="1" x14ac:dyDescent="0.2">
      <c r="A82" s="30" t="s">
        <v>93</v>
      </c>
      <c r="B82" s="146" t="s">
        <v>103</v>
      </c>
      <c r="C82" s="146"/>
      <c r="D82" s="28"/>
      <c r="E82" s="1"/>
      <c r="F82" s="1"/>
      <c r="G82" s="1"/>
      <c r="H82" s="1"/>
      <c r="I82" s="1"/>
      <c r="Q82" s="1"/>
      <c r="W82" s="1"/>
    </row>
    <row r="83" spans="1:23" s="24" customFormat="1" ht="12" customHeight="1" x14ac:dyDescent="0.2">
      <c r="A83" s="30" t="s">
        <v>91</v>
      </c>
      <c r="B83" s="146" t="s">
        <v>104</v>
      </c>
      <c r="C83" s="146"/>
      <c r="D83" s="28"/>
      <c r="E83" s="1"/>
      <c r="F83" s="1"/>
      <c r="G83" s="1"/>
      <c r="H83" s="1"/>
      <c r="I83" s="1"/>
      <c r="Q83" s="1"/>
      <c r="W83" s="1"/>
    </row>
    <row r="84" spans="1:23" s="24" customFormat="1" ht="12" customHeight="1" x14ac:dyDescent="0.2">
      <c r="A84" s="30" t="s">
        <v>89</v>
      </c>
      <c r="B84" s="146" t="s">
        <v>105</v>
      </c>
      <c r="C84" s="146"/>
      <c r="D84" s="28"/>
      <c r="E84" s="1"/>
      <c r="F84" s="1"/>
      <c r="G84" s="1"/>
      <c r="H84" s="1"/>
      <c r="I84" s="1"/>
      <c r="Q84" s="1"/>
      <c r="W84" s="1"/>
    </row>
    <row r="85" spans="1:23" s="24" customFormat="1" ht="12" customHeight="1" x14ac:dyDescent="0.2">
      <c r="A85" s="30" t="s">
        <v>87</v>
      </c>
      <c r="B85" s="146" t="s">
        <v>106</v>
      </c>
      <c r="C85" s="146"/>
      <c r="D85" s="28"/>
      <c r="E85" s="1"/>
      <c r="F85" s="1"/>
      <c r="G85" s="1"/>
      <c r="H85" s="1"/>
      <c r="I85" s="1"/>
      <c r="Q85" s="1"/>
      <c r="W85" s="1"/>
    </row>
    <row r="86" spans="1:23" s="24" customFormat="1" ht="12" customHeight="1" x14ac:dyDescent="0.2">
      <c r="A86" s="30" t="s">
        <v>107</v>
      </c>
      <c r="B86" s="147" t="s">
        <v>108</v>
      </c>
      <c r="C86" s="147"/>
      <c r="D86" s="28"/>
      <c r="E86" s="1"/>
      <c r="F86" s="1"/>
      <c r="G86" s="1"/>
      <c r="H86" s="1"/>
      <c r="I86" s="1"/>
      <c r="Q86" s="1"/>
      <c r="W86" s="1"/>
    </row>
    <row r="87" spans="1:23" s="24" customFormat="1" ht="12" customHeight="1" x14ac:dyDescent="0.2">
      <c r="A87" s="30" t="s">
        <v>109</v>
      </c>
      <c r="B87" s="146" t="s">
        <v>110</v>
      </c>
      <c r="C87" s="146"/>
      <c r="D87" s="28"/>
      <c r="E87" s="1"/>
      <c r="F87" s="1"/>
      <c r="G87" s="1"/>
      <c r="H87" s="1"/>
      <c r="I87" s="1"/>
      <c r="Q87" s="1"/>
      <c r="W87" s="1"/>
    </row>
    <row r="88" spans="1:23" s="31" customFormat="1" ht="12" customHeight="1" x14ac:dyDescent="0.2">
      <c r="A88" s="30" t="s">
        <v>111</v>
      </c>
      <c r="B88" s="146" t="s">
        <v>112</v>
      </c>
      <c r="C88" s="146"/>
      <c r="D88" s="28"/>
      <c r="E88" s="1"/>
      <c r="F88" s="1"/>
      <c r="G88" s="1"/>
      <c r="H88" s="1"/>
      <c r="I88" s="1"/>
      <c r="Q88" s="1"/>
      <c r="R88" s="24"/>
      <c r="W88" s="1"/>
    </row>
    <row r="89" spans="1:23" s="31" customFormat="1" ht="12" customHeight="1" x14ac:dyDescent="0.2">
      <c r="A89" s="28"/>
      <c r="B89" s="32"/>
      <c r="D89" s="28"/>
      <c r="E89" s="1"/>
      <c r="F89" s="1"/>
      <c r="G89" s="1"/>
      <c r="H89" s="1"/>
      <c r="I89" s="1"/>
      <c r="Q89" s="1"/>
      <c r="R89" s="24"/>
      <c r="W89" s="1"/>
    </row>
    <row r="90" spans="1:23" s="31" customFormat="1" ht="12" customHeight="1" x14ac:dyDescent="0.2">
      <c r="D90" s="28"/>
      <c r="E90" s="1"/>
      <c r="F90" s="1"/>
      <c r="G90" s="1"/>
      <c r="H90" s="1"/>
      <c r="I90" s="1"/>
      <c r="R90" s="24"/>
      <c r="W90" s="1"/>
    </row>
    <row r="91" spans="1:23" s="27" customFormat="1" ht="12" customHeight="1" x14ac:dyDescent="0.2">
      <c r="A91" s="143" t="s">
        <v>113</v>
      </c>
      <c r="B91" s="143"/>
      <c r="C91" s="143"/>
      <c r="D91" s="29"/>
      <c r="E91" s="6"/>
      <c r="F91" s="6"/>
      <c r="G91" s="6"/>
      <c r="H91" s="6"/>
      <c r="I91" s="6"/>
      <c r="Q91" s="6"/>
      <c r="W91" s="6"/>
    </row>
    <row r="92" spans="1:23" s="24" customFormat="1" ht="28.5" customHeight="1" x14ac:dyDescent="0.2">
      <c r="A92" s="33" t="s">
        <v>114</v>
      </c>
      <c r="B92" s="145" t="s">
        <v>115</v>
      </c>
      <c r="C92" s="145"/>
      <c r="D92" s="28"/>
      <c r="Q92" s="1"/>
      <c r="W92" s="1"/>
    </row>
    <row r="93" spans="1:23" s="24" customFormat="1" ht="39.75" customHeight="1" x14ac:dyDescent="0.2">
      <c r="A93" s="34" t="s">
        <v>116</v>
      </c>
      <c r="B93" s="145" t="s">
        <v>117</v>
      </c>
      <c r="C93" s="145"/>
      <c r="D93" s="28"/>
      <c r="Q93" s="1"/>
      <c r="W93" s="1"/>
    </row>
    <row r="94" spans="1:23" s="24" customFormat="1" ht="28.5" customHeight="1" x14ac:dyDescent="0.2">
      <c r="A94" s="35" t="s">
        <v>118</v>
      </c>
      <c r="B94" s="145" t="s">
        <v>119</v>
      </c>
      <c r="C94" s="145"/>
      <c r="D94" s="28"/>
      <c r="Q94" s="1"/>
      <c r="W94" s="1"/>
    </row>
    <row r="95" spans="1:23" s="24" customFormat="1" ht="28.5" customHeight="1" x14ac:dyDescent="0.2">
      <c r="A95" s="36" t="s">
        <v>120</v>
      </c>
      <c r="B95" s="145" t="s">
        <v>121</v>
      </c>
      <c r="C95" s="145"/>
      <c r="D95" s="28"/>
      <c r="Q95" s="1"/>
      <c r="W95" s="1"/>
    </row>
    <row r="96" spans="1:23" s="24" customFormat="1" ht="36" customHeight="1" x14ac:dyDescent="0.2">
      <c r="A96" s="37" t="s">
        <v>122</v>
      </c>
      <c r="B96" s="145" t="s">
        <v>123</v>
      </c>
      <c r="C96" s="145"/>
      <c r="D96" s="28"/>
      <c r="Q96" s="1"/>
      <c r="W96" s="1"/>
    </row>
    <row r="97" spans="1:23" s="24" customFormat="1" ht="29.25" customHeight="1" x14ac:dyDescent="0.2">
      <c r="A97" s="38" t="s">
        <v>124</v>
      </c>
      <c r="B97" s="145" t="s">
        <v>125</v>
      </c>
      <c r="C97" s="145"/>
      <c r="D97" s="28"/>
      <c r="Q97" s="1"/>
      <c r="W97" s="1"/>
    </row>
    <row r="98" spans="1:23" s="24" customFormat="1" ht="25.5" customHeight="1" x14ac:dyDescent="0.2">
      <c r="A98" s="39" t="s">
        <v>126</v>
      </c>
      <c r="B98" s="142" t="s">
        <v>127</v>
      </c>
      <c r="C98" s="142"/>
      <c r="D98" s="28"/>
      <c r="Q98" s="1"/>
      <c r="W98" s="1"/>
    </row>
    <row r="99" spans="1:23" s="31" customFormat="1" ht="12" customHeight="1" x14ac:dyDescent="0.2">
      <c r="D99" s="28"/>
      <c r="Q99" s="1"/>
      <c r="R99" s="24"/>
      <c r="W99" s="1"/>
    </row>
    <row r="100" spans="1:23" s="31" customFormat="1" ht="12" customHeight="1" x14ac:dyDescent="0.2">
      <c r="D100" s="28"/>
      <c r="R100" s="24"/>
      <c r="W100" s="1"/>
    </row>
    <row r="101" spans="1:23" s="40" customFormat="1" ht="12" customHeight="1" x14ac:dyDescent="0.2">
      <c r="A101" s="143" t="s">
        <v>128</v>
      </c>
      <c r="B101" s="143"/>
      <c r="C101" s="143"/>
      <c r="D101" s="29"/>
      <c r="R101" s="27"/>
      <c r="W101" s="6"/>
    </row>
    <row r="102" spans="1:23" s="24" customFormat="1" ht="12" customHeight="1" x14ac:dyDescent="0.2">
      <c r="A102" s="144" t="s">
        <v>129</v>
      </c>
      <c r="B102" s="144"/>
      <c r="C102" s="144"/>
      <c r="D102" s="25"/>
      <c r="Q102" s="1"/>
      <c r="W102" s="1"/>
    </row>
    <row r="103" spans="1:23" s="24" customFormat="1" ht="12" customHeight="1" x14ac:dyDescent="0.2">
      <c r="A103" s="41"/>
      <c r="D103" s="25"/>
    </row>
    <row r="104" spans="1:23" ht="12" customHeight="1" x14ac:dyDescent="0.2">
      <c r="A104" s="42"/>
      <c r="B104" s="43"/>
      <c r="C104" s="22"/>
      <c r="D104" s="8"/>
      <c r="E104" s="22"/>
      <c r="F104" s="22"/>
      <c r="G104" s="22"/>
      <c r="H104" s="22"/>
      <c r="I104" s="22"/>
      <c r="J104" s="22"/>
      <c r="K104" s="22"/>
    </row>
    <row r="105" spans="1:23" ht="12" customHeight="1" x14ac:dyDescent="0.2">
      <c r="A105" s="44"/>
      <c r="B105" s="43"/>
      <c r="C105" s="22"/>
      <c r="D105" s="8"/>
      <c r="E105" s="22"/>
      <c r="F105" s="22"/>
      <c r="G105" s="22"/>
      <c r="H105" s="22"/>
      <c r="I105" s="22"/>
      <c r="J105" s="22"/>
      <c r="K105" s="22"/>
    </row>
    <row r="106" spans="1:23" ht="12" customHeight="1" x14ac:dyDescent="0.2">
      <c r="A106" s="22"/>
      <c r="B106" s="44"/>
      <c r="C106" s="45"/>
      <c r="D106" s="8"/>
      <c r="E106" s="22"/>
      <c r="F106" s="22"/>
      <c r="G106" s="22"/>
      <c r="H106" s="22"/>
      <c r="I106" s="22"/>
      <c r="J106" s="22"/>
      <c r="K106" s="22"/>
    </row>
    <row r="107" spans="1:23" ht="12" customHeight="1" x14ac:dyDescent="0.2">
      <c r="A107" s="44"/>
      <c r="B107" s="43"/>
      <c r="C107" s="22"/>
      <c r="D107" s="8"/>
      <c r="E107" s="22"/>
      <c r="F107" s="22"/>
      <c r="G107" s="22"/>
      <c r="H107" s="22"/>
      <c r="I107" s="22"/>
      <c r="J107" s="22"/>
      <c r="K107" s="22"/>
    </row>
    <row r="108" spans="1:23" ht="12" customHeight="1" x14ac:dyDescent="0.2">
      <c r="C108" s="45"/>
      <c r="D108" s="8"/>
      <c r="E108" s="22"/>
      <c r="F108" s="22"/>
      <c r="G108" s="22"/>
      <c r="H108" s="22"/>
      <c r="I108" s="22"/>
      <c r="J108" s="22"/>
      <c r="K108" s="22"/>
    </row>
    <row r="109" spans="1:23" x14ac:dyDescent="0.2">
      <c r="C109" s="45"/>
      <c r="D109" s="8"/>
      <c r="E109" s="22"/>
      <c r="F109" s="22"/>
      <c r="G109" s="22"/>
      <c r="H109" s="22"/>
      <c r="I109" s="22"/>
      <c r="J109" s="22"/>
      <c r="K109" s="22"/>
    </row>
    <row r="110" spans="1:23" x14ac:dyDescent="0.2">
      <c r="C110" s="45"/>
      <c r="D110" s="8"/>
      <c r="E110" s="22"/>
      <c r="F110" s="22"/>
      <c r="G110" s="22"/>
      <c r="H110" s="22"/>
      <c r="I110" s="22"/>
      <c r="J110" s="22"/>
      <c r="K110" s="22"/>
    </row>
    <row r="111" spans="1:23" x14ac:dyDescent="0.2">
      <c r="A111" s="22"/>
      <c r="B111" s="44"/>
      <c r="C111" s="45"/>
      <c r="D111" s="8"/>
      <c r="E111" s="22"/>
      <c r="F111" s="22"/>
      <c r="G111" s="22"/>
      <c r="H111" s="22"/>
      <c r="I111" s="22"/>
      <c r="J111" s="22"/>
      <c r="K111" s="22"/>
    </row>
    <row r="112" spans="1:23" x14ac:dyDescent="0.2">
      <c r="A112" s="46"/>
      <c r="B112" s="47"/>
      <c r="D112" s="8"/>
    </row>
    <row r="113" spans="1:4" x14ac:dyDescent="0.2">
      <c r="A113" s="46"/>
      <c r="B113" s="47"/>
      <c r="D113" s="8"/>
    </row>
    <row r="114" spans="1:4" x14ac:dyDescent="0.2">
      <c r="A114" s="48"/>
      <c r="B114" s="49"/>
      <c r="D114" s="8"/>
    </row>
    <row r="115" spans="1:4" x14ac:dyDescent="0.2">
      <c r="A115" s="48"/>
      <c r="B115" s="49"/>
      <c r="D115" s="8"/>
    </row>
    <row r="116" spans="1:4" x14ac:dyDescent="0.2">
      <c r="A116" s="50"/>
      <c r="B116" s="49"/>
      <c r="D116" s="8"/>
    </row>
    <row r="117" spans="1:4" x14ac:dyDescent="0.2">
      <c r="A117" s="50"/>
      <c r="B117" s="49"/>
      <c r="D117" s="8"/>
    </row>
    <row r="118" spans="1:4" x14ac:dyDescent="0.2">
      <c r="A118" s="50"/>
      <c r="D118" s="8"/>
    </row>
    <row r="119" spans="1:4" x14ac:dyDescent="0.2">
      <c r="A119" s="50"/>
      <c r="D119" s="7"/>
    </row>
    <row r="120" spans="1:4" x14ac:dyDescent="0.2">
      <c r="A120" s="50"/>
      <c r="D120" s="7"/>
    </row>
    <row r="121" spans="1:4" x14ac:dyDescent="0.2">
      <c r="A121" s="50"/>
      <c r="D121" s="7"/>
    </row>
    <row r="122" spans="1:4" x14ac:dyDescent="0.2">
      <c r="A122" s="50"/>
      <c r="D122" s="7"/>
    </row>
    <row r="123" spans="1:4" x14ac:dyDescent="0.2">
      <c r="A123" s="50"/>
      <c r="D123" s="7"/>
    </row>
    <row r="124" spans="1:4" x14ac:dyDescent="0.2">
      <c r="A124" s="50"/>
      <c r="D124" s="7"/>
    </row>
    <row r="125" spans="1:4" x14ac:dyDescent="0.2">
      <c r="A125" s="50"/>
      <c r="D125" s="7"/>
    </row>
    <row r="126" spans="1:4" x14ac:dyDescent="0.2">
      <c r="A126" s="50"/>
      <c r="D126" s="7"/>
    </row>
    <row r="127" spans="1:4" x14ac:dyDescent="0.2">
      <c r="A127" s="50"/>
      <c r="D127" s="7"/>
    </row>
    <row r="128" spans="1:4" x14ac:dyDescent="0.2">
      <c r="D128" s="7"/>
    </row>
    <row r="129" spans="1:4" x14ac:dyDescent="0.2">
      <c r="A129" s="44"/>
      <c r="D129" s="7"/>
    </row>
    <row r="130" spans="1:4" x14ac:dyDescent="0.2">
      <c r="A130" s="44"/>
      <c r="D130" s="7"/>
    </row>
    <row r="133" spans="1:4" x14ac:dyDescent="0.2">
      <c r="A133" s="50"/>
    </row>
  </sheetData>
  <sheetProtection selectLockedCells="1" selectUnlockedCells="1"/>
  <mergeCells count="75">
    <mergeCell ref="A9:C9"/>
    <mergeCell ref="A2:C2"/>
    <mergeCell ref="A3:C3"/>
    <mergeCell ref="A4:C4"/>
    <mergeCell ref="A5:C5"/>
    <mergeCell ref="A7:C7"/>
    <mergeCell ref="B29:C29"/>
    <mergeCell ref="B10:C10"/>
    <mergeCell ref="A11:A19"/>
    <mergeCell ref="B20:C20"/>
    <mergeCell ref="B21:C21"/>
    <mergeCell ref="B22:C22"/>
    <mergeCell ref="B23:C23"/>
    <mergeCell ref="B24:C24"/>
    <mergeCell ref="B25:C25"/>
    <mergeCell ref="B26:C26"/>
    <mergeCell ref="B27:C27"/>
    <mergeCell ref="B28:C28"/>
    <mergeCell ref="B45:C45"/>
    <mergeCell ref="A32:C32"/>
    <mergeCell ref="B33:C33"/>
    <mergeCell ref="B34:C34"/>
    <mergeCell ref="B35:C35"/>
    <mergeCell ref="A38:C38"/>
    <mergeCell ref="B39:C39"/>
    <mergeCell ref="B40:C40"/>
    <mergeCell ref="B41:C41"/>
    <mergeCell ref="B42:C42"/>
    <mergeCell ref="B43:C43"/>
    <mergeCell ref="B44:C44"/>
    <mergeCell ref="B61:C61"/>
    <mergeCell ref="A48:C48"/>
    <mergeCell ref="B49:C49"/>
    <mergeCell ref="B50:C50"/>
    <mergeCell ref="B51:C51"/>
    <mergeCell ref="B52:C52"/>
    <mergeCell ref="B53:C53"/>
    <mergeCell ref="B54:C54"/>
    <mergeCell ref="B55:C55"/>
    <mergeCell ref="B56:C56"/>
    <mergeCell ref="B57:C57"/>
    <mergeCell ref="A60:C60"/>
    <mergeCell ref="B75:C75"/>
    <mergeCell ref="B62:C62"/>
    <mergeCell ref="B63:C63"/>
    <mergeCell ref="B64:C64"/>
    <mergeCell ref="B65:C65"/>
    <mergeCell ref="A68:C68"/>
    <mergeCell ref="B69:C69"/>
    <mergeCell ref="B70:C70"/>
    <mergeCell ref="B71:C71"/>
    <mergeCell ref="B72:C72"/>
    <mergeCell ref="B73:C73"/>
    <mergeCell ref="B74:C74"/>
    <mergeCell ref="A91:C91"/>
    <mergeCell ref="A78:C78"/>
    <mergeCell ref="B79:C79"/>
    <mergeCell ref="B80:C80"/>
    <mergeCell ref="B81:C81"/>
    <mergeCell ref="B82:C82"/>
    <mergeCell ref="B83:C83"/>
    <mergeCell ref="B84:C84"/>
    <mergeCell ref="B85:C85"/>
    <mergeCell ref="B86:C86"/>
    <mergeCell ref="B87:C87"/>
    <mergeCell ref="B88:C88"/>
    <mergeCell ref="B98:C98"/>
    <mergeCell ref="A101:C101"/>
    <mergeCell ref="A102:C102"/>
    <mergeCell ref="B92:C92"/>
    <mergeCell ref="B93:C93"/>
    <mergeCell ref="B94:C94"/>
    <mergeCell ref="B95:C95"/>
    <mergeCell ref="B96:C96"/>
    <mergeCell ref="B97:C97"/>
  </mergeCells>
  <conditionalFormatting sqref="A79:A88">
    <cfRule type="cellIs" dxfId="221" priority="1" stopIfTrue="1" operator="equal">
      <formula>"Minor"</formula>
    </cfRule>
    <cfRule type="cellIs" dxfId="220" priority="2" stopIfTrue="1" operator="equal">
      <formula>"Not implemented"</formula>
    </cfRule>
    <cfRule type="cellIs" dxfId="219" priority="3" stopIfTrue="1" operator="equal">
      <formula>"Not tested"</formula>
    </cfRule>
  </conditionalFormatting>
  <pageMargins left="0.75" right="0.75" top="1" bottom="1" header="0.51180555555555551" footer="0.51180555555555551"/>
  <pageSetup firstPageNumber="0" orientation="portrait" horizontalDpi="300" verticalDpi="300"/>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9"/>
  <sheetViews>
    <sheetView zoomScale="160" zoomScaleNormal="160" workbookViewId="0">
      <pane xSplit="1" ySplit="3" topLeftCell="B91" activePane="bottomRight" state="frozen"/>
      <selection pane="topRight" activeCell="B1" sqref="B1"/>
      <selection pane="bottomLeft" activeCell="A4" sqref="A4"/>
      <selection pane="bottomRight" activeCell="B1" sqref="B1"/>
    </sheetView>
  </sheetViews>
  <sheetFormatPr defaultRowHeight="12" customHeight="1" outlineLevelRow="1" x14ac:dyDescent="0.2"/>
  <cols>
    <col min="1" max="1" width="25.7109375" style="24" customWidth="1"/>
    <col min="2" max="7" width="16.7109375" style="24" customWidth="1"/>
    <col min="8" max="8" width="16.7109375" style="51" customWidth="1"/>
    <col min="9" max="10" width="16.7109375" style="24" customWidth="1"/>
    <col min="11" max="16384" width="9.140625" style="24"/>
  </cols>
  <sheetData>
    <row r="1" spans="1:10" s="4" customFormat="1" ht="39.950000000000003" customHeight="1" x14ac:dyDescent="0.2">
      <c r="A1" s="2" t="s">
        <v>130</v>
      </c>
      <c r="B1" s="3"/>
      <c r="C1" s="3"/>
      <c r="D1" s="3"/>
      <c r="E1" s="3"/>
      <c r="F1" s="3"/>
      <c r="J1" s="5"/>
    </row>
    <row r="2" spans="1:10" s="54" customFormat="1" ht="12" customHeight="1" x14ac:dyDescent="0.2">
      <c r="A2" s="52" t="s">
        <v>6</v>
      </c>
      <c r="B2" s="53"/>
      <c r="C2" s="53"/>
      <c r="D2" s="53"/>
      <c r="E2" s="53"/>
      <c r="F2" s="53"/>
      <c r="J2" s="55" t="s">
        <v>131</v>
      </c>
    </row>
    <row r="3" spans="1:10" ht="12" customHeight="1" x14ac:dyDescent="0.2">
      <c r="A3" s="56" t="s">
        <v>132</v>
      </c>
      <c r="B3" s="57">
        <v>1</v>
      </c>
      <c r="C3" s="57">
        <v>1</v>
      </c>
      <c r="D3" s="57">
        <v>2</v>
      </c>
      <c r="E3" s="57">
        <v>2</v>
      </c>
      <c r="F3" s="57">
        <v>2</v>
      </c>
      <c r="J3" s="58">
        <v>3</v>
      </c>
    </row>
    <row r="4" spans="1:10" ht="12" customHeight="1" x14ac:dyDescent="0.2">
      <c r="A4" s="56" t="s">
        <v>9</v>
      </c>
      <c r="B4" s="57" t="s">
        <v>10</v>
      </c>
      <c r="C4" s="57" t="s">
        <v>14</v>
      </c>
      <c r="D4" s="57" t="s">
        <v>10</v>
      </c>
      <c r="E4" s="57" t="s">
        <v>18</v>
      </c>
      <c r="F4" s="57" t="s">
        <v>20</v>
      </c>
      <c r="J4" s="58">
        <v>3</v>
      </c>
    </row>
    <row r="5" spans="1:10" ht="12" customHeight="1" x14ac:dyDescent="0.2">
      <c r="A5" s="56" t="s">
        <v>25</v>
      </c>
      <c r="B5" s="59">
        <v>41213</v>
      </c>
      <c r="C5" s="59" t="s">
        <v>133</v>
      </c>
      <c r="D5" s="59">
        <v>41213</v>
      </c>
      <c r="E5" s="59">
        <v>41191</v>
      </c>
      <c r="F5" s="59">
        <v>41214</v>
      </c>
      <c r="J5" s="58">
        <v>3</v>
      </c>
    </row>
    <row r="6" spans="1:10" ht="12" customHeight="1" x14ac:dyDescent="0.2">
      <c r="A6" s="56" t="s">
        <v>27</v>
      </c>
      <c r="B6" s="60" t="s">
        <v>134</v>
      </c>
      <c r="C6" s="59" t="s">
        <v>134</v>
      </c>
      <c r="D6" s="60" t="s">
        <v>134</v>
      </c>
      <c r="E6" s="60" t="s">
        <v>134</v>
      </c>
      <c r="F6" s="60" t="s">
        <v>134</v>
      </c>
      <c r="J6" s="58">
        <v>3</v>
      </c>
    </row>
    <row r="7" spans="1:10" ht="12" customHeight="1" x14ac:dyDescent="0.2">
      <c r="A7" s="56" t="s">
        <v>29</v>
      </c>
      <c r="B7" s="60" t="s">
        <v>135</v>
      </c>
      <c r="C7" s="59" t="s">
        <v>135</v>
      </c>
      <c r="D7" s="60" t="s">
        <v>135</v>
      </c>
      <c r="E7" s="60" t="s">
        <v>135</v>
      </c>
      <c r="F7" s="60" t="s">
        <v>135</v>
      </c>
      <c r="J7" s="61"/>
    </row>
    <row r="8" spans="1:10" ht="12" customHeight="1" x14ac:dyDescent="0.2">
      <c r="A8" s="56" t="s">
        <v>31</v>
      </c>
      <c r="B8" s="57" t="s">
        <v>136</v>
      </c>
      <c r="C8" s="57" t="s">
        <v>136</v>
      </c>
      <c r="D8" s="57" t="s">
        <v>136</v>
      </c>
      <c r="E8" s="57" t="s">
        <v>136</v>
      </c>
      <c r="F8" s="57" t="s">
        <v>136</v>
      </c>
      <c r="J8" s="61"/>
    </row>
    <row r="9" spans="1:10" ht="12" customHeight="1" x14ac:dyDescent="0.2">
      <c r="A9" s="62" t="s">
        <v>137</v>
      </c>
      <c r="B9" s="57">
        <v>100</v>
      </c>
      <c r="C9" s="57">
        <v>100</v>
      </c>
      <c r="D9" s="57">
        <v>100</v>
      </c>
      <c r="E9" s="57">
        <v>100</v>
      </c>
      <c r="F9" s="57">
        <v>100</v>
      </c>
      <c r="J9" s="61"/>
    </row>
    <row r="10" spans="1:10" ht="12" customHeight="1" x14ac:dyDescent="0.2">
      <c r="A10" s="63" t="s">
        <v>35</v>
      </c>
      <c r="B10" s="64" t="s">
        <v>124</v>
      </c>
      <c r="C10" s="64" t="s">
        <v>122</v>
      </c>
      <c r="D10" s="64" t="s">
        <v>124</v>
      </c>
      <c r="E10" s="64" t="s">
        <v>118</v>
      </c>
      <c r="F10" s="64" t="s">
        <v>120</v>
      </c>
      <c r="J10" s="58">
        <v>3</v>
      </c>
    </row>
    <row r="11" spans="1:10" ht="12" customHeight="1" x14ac:dyDescent="0.2">
      <c r="A11" s="63" t="s">
        <v>37</v>
      </c>
      <c r="B11" s="65">
        <f>ROUND(EXP(-1*(100*B51+20*B52+4*B53+2*B54+1*B55)/B9),3)</f>
        <v>1</v>
      </c>
      <c r="C11" s="65">
        <f>ROUND(EXP(-1*(100*C51+20*C52+4*C53+2*C54+1*C55)/C9),3)</f>
        <v>6.8000000000000005E-2</v>
      </c>
      <c r="D11" s="65">
        <f>ROUND(EXP(-1*(100*D51+20*D52+4*D53+2*D54+1*D55)/D9),3)</f>
        <v>6.8000000000000005E-2</v>
      </c>
      <c r="E11" s="65">
        <f>ROUND(EXP(-1*(100*E51+20*E52+4*E53+2*E54+1*E55)/E9),3)</f>
        <v>0.52700000000000002</v>
      </c>
      <c r="F11" s="65">
        <f>ROUND(EXP(-1*(100*F51+20*F52+4*F53+2*F54+1*F55)/F9),3)</f>
        <v>0.375</v>
      </c>
      <c r="I11" s="25"/>
      <c r="J11" s="58">
        <v>3</v>
      </c>
    </row>
    <row r="12" spans="1:10" ht="12" customHeight="1" x14ac:dyDescent="0.2">
      <c r="A12" s="62" t="s">
        <v>39</v>
      </c>
      <c r="B12" s="66">
        <v>0</v>
      </c>
      <c r="C12" s="66">
        <v>52</v>
      </c>
      <c r="D12" s="66">
        <v>52</v>
      </c>
      <c r="E12" s="67">
        <v>22</v>
      </c>
      <c r="F12" s="66">
        <v>32</v>
      </c>
      <c r="J12" s="58">
        <v>3</v>
      </c>
    </row>
    <row r="13" spans="1:10" ht="12" customHeight="1" x14ac:dyDescent="0.2">
      <c r="A13" s="62" t="s">
        <v>41</v>
      </c>
      <c r="B13" s="57">
        <v>0</v>
      </c>
      <c r="C13" s="57">
        <v>52</v>
      </c>
      <c r="D13" s="57">
        <v>0</v>
      </c>
      <c r="E13" s="68">
        <v>0</v>
      </c>
      <c r="F13" s="57">
        <v>10</v>
      </c>
      <c r="J13" s="61"/>
    </row>
    <row r="14" spans="1:10" ht="12" customHeight="1" x14ac:dyDescent="0.2">
      <c r="A14" s="62" t="s">
        <v>43</v>
      </c>
      <c r="B14" s="69"/>
      <c r="C14" s="69"/>
      <c r="D14" s="69"/>
      <c r="E14" s="69"/>
      <c r="F14" s="69"/>
      <c r="J14" s="61"/>
    </row>
    <row r="15" spans="1:10" ht="12" customHeight="1" x14ac:dyDescent="0.2">
      <c r="A15" s="70"/>
      <c r="B15" s="71"/>
      <c r="C15" s="71"/>
      <c r="D15" s="71"/>
      <c r="E15" s="71"/>
      <c r="F15" s="71"/>
      <c r="J15" s="61"/>
    </row>
    <row r="16" spans="1:10" s="27" customFormat="1" ht="12" customHeight="1" x14ac:dyDescent="0.2">
      <c r="A16" s="52" t="s">
        <v>138</v>
      </c>
      <c r="B16" s="53"/>
      <c r="C16" s="53"/>
      <c r="D16" s="53"/>
      <c r="E16" s="53"/>
      <c r="F16" s="53"/>
      <c r="H16" s="72"/>
      <c r="J16" s="73"/>
    </row>
    <row r="17" spans="1:10" ht="12" customHeight="1" x14ac:dyDescent="0.2">
      <c r="A17" s="70"/>
      <c r="B17" s="71"/>
      <c r="C17" s="71"/>
      <c r="D17" s="71"/>
      <c r="E17" s="71"/>
      <c r="F17" s="71"/>
      <c r="J17" s="61"/>
    </row>
    <row r="18" spans="1:10" s="27" customFormat="1" ht="12" customHeight="1" x14ac:dyDescent="0.2">
      <c r="A18" s="74" t="s">
        <v>139</v>
      </c>
      <c r="B18" s="53"/>
      <c r="C18" s="53"/>
      <c r="D18" s="53"/>
      <c r="E18" s="53"/>
      <c r="F18" s="53"/>
      <c r="H18" s="72"/>
      <c r="J18" s="73"/>
    </row>
    <row r="19" spans="1:10" ht="12" customHeight="1" outlineLevel="1" x14ac:dyDescent="0.2">
      <c r="A19" s="62" t="s">
        <v>41</v>
      </c>
      <c r="B19" s="66">
        <v>0</v>
      </c>
      <c r="C19" s="66">
        <v>52</v>
      </c>
      <c r="D19" s="66">
        <v>0</v>
      </c>
      <c r="E19" s="67">
        <v>0</v>
      </c>
      <c r="F19" s="66">
        <v>10</v>
      </c>
      <c r="J19" s="61"/>
    </row>
    <row r="20" spans="1:10" ht="12" customHeight="1" outlineLevel="1" x14ac:dyDescent="0.2">
      <c r="A20" s="56" t="s">
        <v>47</v>
      </c>
      <c r="B20" s="57">
        <v>0</v>
      </c>
      <c r="C20" s="57">
        <v>8</v>
      </c>
      <c r="D20" s="57">
        <v>0</v>
      </c>
      <c r="E20" s="68">
        <v>0</v>
      </c>
      <c r="F20" s="57">
        <v>0</v>
      </c>
      <c r="J20" s="61"/>
    </row>
    <row r="21" spans="1:10" ht="12" customHeight="1" outlineLevel="1" x14ac:dyDescent="0.2">
      <c r="A21" s="62" t="s">
        <v>43</v>
      </c>
      <c r="B21" s="57"/>
      <c r="C21" s="57"/>
      <c r="D21" s="57"/>
      <c r="E21" s="57"/>
      <c r="F21" s="57"/>
      <c r="J21" s="61"/>
    </row>
    <row r="22" spans="1:10" ht="12" customHeight="1" x14ac:dyDescent="0.2">
      <c r="A22" s="70"/>
      <c r="B22" s="71"/>
      <c r="C22" s="71"/>
      <c r="D22" s="71"/>
      <c r="E22" s="71"/>
      <c r="F22" s="71"/>
      <c r="J22" s="61"/>
    </row>
    <row r="23" spans="1:10" s="27" customFormat="1" ht="12" customHeight="1" x14ac:dyDescent="0.2">
      <c r="A23" s="74" t="s">
        <v>140</v>
      </c>
      <c r="B23" s="53"/>
      <c r="C23" s="53"/>
      <c r="D23" s="53"/>
      <c r="E23" s="53"/>
      <c r="F23" s="53"/>
      <c r="H23" s="72"/>
      <c r="J23" s="75">
        <v>3</v>
      </c>
    </row>
    <row r="24" spans="1:10" ht="12" customHeight="1" x14ac:dyDescent="0.2">
      <c r="A24" s="56" t="s">
        <v>50</v>
      </c>
      <c r="B24" s="57">
        <v>0</v>
      </c>
      <c r="C24" s="57">
        <v>52</v>
      </c>
      <c r="D24" s="57">
        <v>17</v>
      </c>
      <c r="E24" s="57">
        <v>17</v>
      </c>
      <c r="F24" s="57">
        <v>27</v>
      </c>
      <c r="J24" s="61"/>
    </row>
    <row r="25" spans="1:10" ht="12" customHeight="1" x14ac:dyDescent="0.2">
      <c r="A25" s="56" t="s">
        <v>52</v>
      </c>
      <c r="B25" s="57">
        <v>0</v>
      </c>
      <c r="C25" s="57">
        <v>0</v>
      </c>
      <c r="D25" s="57">
        <v>5</v>
      </c>
      <c r="E25" s="57">
        <v>5</v>
      </c>
      <c r="F25" s="57">
        <v>5</v>
      </c>
      <c r="J25" s="61"/>
    </row>
    <row r="26" spans="1:10" ht="12" customHeight="1" x14ac:dyDescent="0.2">
      <c r="A26" s="56" t="s">
        <v>54</v>
      </c>
      <c r="B26" s="57">
        <v>0</v>
      </c>
      <c r="C26" s="57">
        <v>0</v>
      </c>
      <c r="D26" s="57">
        <v>30</v>
      </c>
      <c r="E26" s="57">
        <v>0</v>
      </c>
      <c r="F26" s="57">
        <v>0</v>
      </c>
      <c r="J26" s="61"/>
    </row>
    <row r="27" spans="1:10" ht="12" customHeight="1" x14ac:dyDescent="0.2">
      <c r="A27" s="76" t="s">
        <v>56</v>
      </c>
      <c r="B27" s="57">
        <v>0</v>
      </c>
      <c r="C27" s="57">
        <v>0</v>
      </c>
      <c r="D27" s="57">
        <v>0</v>
      </c>
      <c r="E27" s="57">
        <v>0</v>
      </c>
      <c r="F27" s="57">
        <v>0</v>
      </c>
      <c r="J27" s="61"/>
    </row>
    <row r="28" spans="1:10" ht="12" customHeight="1" x14ac:dyDescent="0.2">
      <c r="A28" s="76" t="s">
        <v>58</v>
      </c>
      <c r="B28" s="57">
        <v>0</v>
      </c>
      <c r="C28" s="57">
        <v>0</v>
      </c>
      <c r="D28" s="57">
        <v>0</v>
      </c>
      <c r="E28" s="57">
        <v>0</v>
      </c>
      <c r="F28" s="57">
        <v>0</v>
      </c>
      <c r="J28" s="61"/>
    </row>
    <row r="29" spans="1:10" ht="12" customHeight="1" x14ac:dyDescent="0.2">
      <c r="A29" s="62" t="s">
        <v>60</v>
      </c>
      <c r="B29" s="66">
        <f>SUM(B24:B28)</f>
        <v>0</v>
      </c>
      <c r="C29" s="66">
        <f>SUM(C24:C28)</f>
        <v>52</v>
      </c>
      <c r="D29" s="66">
        <f>SUM(D24:D28)</f>
        <v>52</v>
      </c>
      <c r="E29" s="66">
        <f>SUM(E24:E28)</f>
        <v>22</v>
      </c>
      <c r="F29" s="66">
        <f>SUM(F24:F28)</f>
        <v>32</v>
      </c>
      <c r="J29" s="61"/>
    </row>
    <row r="30" spans="1:10" ht="12" customHeight="1" x14ac:dyDescent="0.2">
      <c r="A30" s="62" t="s">
        <v>43</v>
      </c>
      <c r="B30" s="57"/>
      <c r="C30" s="57"/>
      <c r="D30" s="57"/>
      <c r="E30" s="57"/>
      <c r="F30" s="57"/>
      <c r="J30" s="61"/>
    </row>
    <row r="31" spans="1:10" ht="12" customHeight="1" x14ac:dyDescent="0.2">
      <c r="A31" s="70"/>
      <c r="B31" s="71"/>
      <c r="C31" s="71"/>
      <c r="D31" s="71"/>
      <c r="E31" s="71"/>
      <c r="F31" s="71"/>
      <c r="J31" s="61"/>
    </row>
    <row r="32" spans="1:10" s="27" customFormat="1" ht="12" customHeight="1" x14ac:dyDescent="0.2">
      <c r="A32" s="74" t="s">
        <v>141</v>
      </c>
      <c r="B32" s="53"/>
      <c r="C32" s="53"/>
      <c r="D32" s="53"/>
      <c r="E32" s="53"/>
      <c r="F32" s="53"/>
      <c r="H32" s="72"/>
      <c r="J32" s="75">
        <v>3</v>
      </c>
    </row>
    <row r="33" spans="1:10" ht="12" customHeight="1" outlineLevel="1" x14ac:dyDescent="0.2">
      <c r="A33" s="56" t="s">
        <v>63</v>
      </c>
      <c r="B33" s="67" t="s">
        <v>142</v>
      </c>
      <c r="C33" s="67" t="s">
        <v>142</v>
      </c>
      <c r="D33" s="67" t="s">
        <v>142</v>
      </c>
      <c r="E33" s="66">
        <v>30</v>
      </c>
      <c r="F33" s="67" t="s">
        <v>142</v>
      </c>
      <c r="J33" s="61"/>
    </row>
    <row r="34" spans="1:10" ht="12" customHeight="1" outlineLevel="1" x14ac:dyDescent="0.2">
      <c r="A34" s="62" t="s">
        <v>65</v>
      </c>
      <c r="B34" s="68" t="s">
        <v>142</v>
      </c>
      <c r="C34" s="68" t="s">
        <v>142</v>
      </c>
      <c r="D34" s="68" t="s">
        <v>142</v>
      </c>
      <c r="E34" s="57">
        <v>0</v>
      </c>
      <c r="F34" s="68" t="s">
        <v>142</v>
      </c>
      <c r="J34" s="61"/>
    </row>
    <row r="35" spans="1:10" ht="12" customHeight="1" outlineLevel="1" x14ac:dyDescent="0.2">
      <c r="A35" s="62" t="s">
        <v>67</v>
      </c>
      <c r="B35" s="68" t="s">
        <v>142</v>
      </c>
      <c r="C35" s="68" t="s">
        <v>142</v>
      </c>
      <c r="D35" s="68" t="s">
        <v>142</v>
      </c>
      <c r="E35" s="57">
        <v>0</v>
      </c>
      <c r="F35" s="68" t="s">
        <v>142</v>
      </c>
      <c r="J35" s="61"/>
    </row>
    <row r="36" spans="1:10" ht="12" customHeight="1" outlineLevel="1" x14ac:dyDescent="0.2">
      <c r="A36" s="62" t="s">
        <v>69</v>
      </c>
      <c r="B36" s="68" t="s">
        <v>142</v>
      </c>
      <c r="C36" s="68" t="s">
        <v>142</v>
      </c>
      <c r="D36" s="68" t="s">
        <v>142</v>
      </c>
      <c r="E36" s="57">
        <v>1</v>
      </c>
      <c r="F36" s="68" t="s">
        <v>142</v>
      </c>
      <c r="J36" s="61"/>
    </row>
    <row r="37" spans="1:10" ht="12" customHeight="1" outlineLevel="1" x14ac:dyDescent="0.2">
      <c r="A37" s="62" t="s">
        <v>71</v>
      </c>
      <c r="B37" s="68" t="s">
        <v>142</v>
      </c>
      <c r="C37" s="68" t="s">
        <v>142</v>
      </c>
      <c r="D37" s="68" t="s">
        <v>142</v>
      </c>
      <c r="E37" s="57">
        <v>3</v>
      </c>
      <c r="F37" s="68" t="s">
        <v>142</v>
      </c>
      <c r="J37" s="61"/>
    </row>
    <row r="38" spans="1:10" ht="12" customHeight="1" outlineLevel="1" x14ac:dyDescent="0.2">
      <c r="A38" s="62" t="s">
        <v>73</v>
      </c>
      <c r="B38" s="68" t="s">
        <v>142</v>
      </c>
      <c r="C38" s="68" t="s">
        <v>142</v>
      </c>
      <c r="D38" s="68" t="s">
        <v>142</v>
      </c>
      <c r="E38" s="57">
        <v>0</v>
      </c>
      <c r="F38" s="68" t="s">
        <v>142</v>
      </c>
      <c r="J38" s="61"/>
    </row>
    <row r="39" spans="1:10" ht="12" customHeight="1" outlineLevel="1" x14ac:dyDescent="0.2">
      <c r="A39" s="62" t="s">
        <v>75</v>
      </c>
      <c r="B39" s="67" t="s">
        <v>142</v>
      </c>
      <c r="C39" s="67" t="s">
        <v>142</v>
      </c>
      <c r="D39" s="67" t="s">
        <v>142</v>
      </c>
      <c r="E39" s="66">
        <v>1</v>
      </c>
      <c r="F39" s="67" t="s">
        <v>142</v>
      </c>
      <c r="J39" s="61"/>
    </row>
    <row r="40" spans="1:10" ht="12" customHeight="1" outlineLevel="1" x14ac:dyDescent="0.2">
      <c r="A40" s="56" t="s">
        <v>77</v>
      </c>
      <c r="B40" s="57"/>
      <c r="C40" s="57"/>
      <c r="D40" s="57"/>
      <c r="E40" s="77">
        <f>SUM(E34:E39)/(E33+E39)</f>
        <v>0.16129032258064516</v>
      </c>
      <c r="F40" s="57"/>
      <c r="J40" s="61"/>
    </row>
    <row r="41" spans="1:10" ht="12" customHeight="1" outlineLevel="1" x14ac:dyDescent="0.2">
      <c r="A41" s="62" t="s">
        <v>43</v>
      </c>
      <c r="B41" s="57"/>
      <c r="C41" s="57"/>
      <c r="D41" s="57"/>
      <c r="E41" s="57"/>
      <c r="F41" s="57"/>
      <c r="J41" s="61"/>
    </row>
    <row r="42" spans="1:10" ht="12" customHeight="1" x14ac:dyDescent="0.2">
      <c r="A42" s="70"/>
      <c r="B42" s="71"/>
      <c r="C42" s="71"/>
      <c r="D42" s="71"/>
      <c r="E42" s="71"/>
      <c r="F42" s="71"/>
      <c r="J42" s="61"/>
    </row>
    <row r="43" spans="1:10" s="27" customFormat="1" ht="12" customHeight="1" x14ac:dyDescent="0.2">
      <c r="A43" s="74" t="s">
        <v>143</v>
      </c>
      <c r="B43" s="53"/>
      <c r="C43" s="53"/>
      <c r="D43" s="53"/>
      <c r="E43" s="53"/>
      <c r="F43" s="53"/>
      <c r="H43" s="72"/>
      <c r="J43" s="73"/>
    </row>
    <row r="44" spans="1:10" ht="12" customHeight="1" outlineLevel="1" x14ac:dyDescent="0.2">
      <c r="A44" s="56" t="s">
        <v>80</v>
      </c>
      <c r="B44" s="68" t="s">
        <v>142</v>
      </c>
      <c r="C44" s="68" t="s">
        <v>142</v>
      </c>
      <c r="D44" s="68" t="s">
        <v>142</v>
      </c>
      <c r="E44" s="68" t="s">
        <v>142</v>
      </c>
      <c r="F44" s="68" t="s">
        <v>142</v>
      </c>
      <c r="J44" s="61"/>
    </row>
    <row r="45" spans="1:10" ht="12" customHeight="1" outlineLevel="1" x14ac:dyDescent="0.2">
      <c r="A45" s="62" t="s">
        <v>82</v>
      </c>
      <c r="B45" s="68" t="s">
        <v>142</v>
      </c>
      <c r="C45" s="68" t="s">
        <v>142</v>
      </c>
      <c r="D45" s="68" t="s">
        <v>142</v>
      </c>
      <c r="E45" s="68" t="s">
        <v>142</v>
      </c>
      <c r="F45" s="68" t="s">
        <v>142</v>
      </c>
      <c r="J45" s="61"/>
    </row>
    <row r="46" spans="1:10" ht="12" customHeight="1" outlineLevel="1" x14ac:dyDescent="0.2">
      <c r="A46" s="62" t="s">
        <v>75</v>
      </c>
      <c r="B46" s="68" t="s">
        <v>142</v>
      </c>
      <c r="C46" s="68" t="s">
        <v>142</v>
      </c>
      <c r="D46" s="68" t="s">
        <v>142</v>
      </c>
      <c r="E46" s="68" t="s">
        <v>142</v>
      </c>
      <c r="F46" s="68" t="s">
        <v>142</v>
      </c>
      <c r="J46" s="61"/>
    </row>
    <row r="47" spans="1:10" ht="12" customHeight="1" outlineLevel="1" x14ac:dyDescent="0.2">
      <c r="A47" s="56" t="s">
        <v>77</v>
      </c>
      <c r="B47" s="67" t="s">
        <v>142</v>
      </c>
      <c r="C47" s="67" t="s">
        <v>142</v>
      </c>
      <c r="D47" s="67" t="s">
        <v>142</v>
      </c>
      <c r="E47" s="68" t="s">
        <v>142</v>
      </c>
      <c r="F47" s="68" t="s">
        <v>142</v>
      </c>
      <c r="J47" s="61"/>
    </row>
    <row r="48" spans="1:10" ht="12" customHeight="1" outlineLevel="1" x14ac:dyDescent="0.2">
      <c r="A48" s="62" t="s">
        <v>43</v>
      </c>
      <c r="B48" s="57"/>
      <c r="C48" s="57"/>
      <c r="D48" s="57"/>
      <c r="E48" s="57"/>
      <c r="F48" s="57"/>
      <c r="J48" s="61"/>
    </row>
    <row r="49" spans="1:10" ht="12" customHeight="1" x14ac:dyDescent="0.2">
      <c r="A49" s="70"/>
      <c r="B49" s="71"/>
      <c r="C49" s="71"/>
      <c r="D49" s="71"/>
      <c r="E49" s="71"/>
      <c r="F49" s="71"/>
      <c r="J49" s="61"/>
    </row>
    <row r="50" spans="1:10" s="27" customFormat="1" ht="12" customHeight="1" x14ac:dyDescent="0.2">
      <c r="A50" s="74" t="s">
        <v>144</v>
      </c>
      <c r="B50" s="53"/>
      <c r="C50" s="53"/>
      <c r="D50" s="53"/>
      <c r="E50" s="53"/>
      <c r="F50" s="53"/>
      <c r="H50" s="72"/>
      <c r="J50" s="75">
        <v>3</v>
      </c>
    </row>
    <row r="51" spans="1:10" ht="12" customHeight="1" x14ac:dyDescent="0.2">
      <c r="A51" s="62" t="s">
        <v>87</v>
      </c>
      <c r="B51" s="57">
        <v>0</v>
      </c>
      <c r="C51" s="57">
        <v>1</v>
      </c>
      <c r="D51" s="57">
        <v>1</v>
      </c>
      <c r="E51" s="57">
        <v>0</v>
      </c>
      <c r="F51" s="57">
        <v>0</v>
      </c>
      <c r="J51" s="61"/>
    </row>
    <row r="52" spans="1:10" ht="12" customHeight="1" x14ac:dyDescent="0.2">
      <c r="A52" s="62" t="s">
        <v>89</v>
      </c>
      <c r="B52" s="57">
        <v>0</v>
      </c>
      <c r="C52" s="57">
        <v>2</v>
      </c>
      <c r="D52" s="57">
        <v>2</v>
      </c>
      <c r="E52" s="57">
        <v>0</v>
      </c>
      <c r="F52" s="57">
        <v>0</v>
      </c>
      <c r="J52" s="61"/>
    </row>
    <row r="53" spans="1:10" ht="12" customHeight="1" x14ac:dyDescent="0.2">
      <c r="A53" s="62" t="s">
        <v>91</v>
      </c>
      <c r="B53" s="57">
        <v>0</v>
      </c>
      <c r="C53" s="57">
        <v>18</v>
      </c>
      <c r="D53" s="57">
        <v>18</v>
      </c>
      <c r="E53" s="57">
        <v>10</v>
      </c>
      <c r="F53" s="57">
        <v>17</v>
      </c>
      <c r="J53" s="61"/>
    </row>
    <row r="54" spans="1:10" ht="12" customHeight="1" x14ac:dyDescent="0.2">
      <c r="A54" s="62" t="s">
        <v>93</v>
      </c>
      <c r="B54" s="57">
        <v>0</v>
      </c>
      <c r="C54" s="57">
        <v>26</v>
      </c>
      <c r="D54" s="57">
        <v>26</v>
      </c>
      <c r="E54" s="57">
        <v>12</v>
      </c>
      <c r="F54" s="57">
        <v>15</v>
      </c>
      <c r="J54" s="61"/>
    </row>
    <row r="55" spans="1:10" ht="12" customHeight="1" x14ac:dyDescent="0.2">
      <c r="A55" s="62" t="s">
        <v>95</v>
      </c>
      <c r="B55" s="57">
        <v>0</v>
      </c>
      <c r="C55" s="57">
        <v>5</v>
      </c>
      <c r="D55" s="57">
        <v>5</v>
      </c>
      <c r="E55" s="57">
        <v>0</v>
      </c>
      <c r="F55" s="57">
        <v>0</v>
      </c>
      <c r="J55" s="61"/>
    </row>
    <row r="56" spans="1:10" ht="12" customHeight="1" x14ac:dyDescent="0.2">
      <c r="A56" s="62" t="s">
        <v>60</v>
      </c>
      <c r="B56" s="66">
        <f>SUM(B51:B55)</f>
        <v>0</v>
      </c>
      <c r="C56" s="66">
        <f>SUM(C51:C55)</f>
        <v>52</v>
      </c>
      <c r="D56" s="66">
        <f>SUM(D51:D55)</f>
        <v>52</v>
      </c>
      <c r="E56" s="66">
        <f>SUM(E51:E55)</f>
        <v>22</v>
      </c>
      <c r="F56" s="66">
        <f>SUM(F51:F55)</f>
        <v>32</v>
      </c>
      <c r="J56" s="61"/>
    </row>
    <row r="57" spans="1:10" ht="12" customHeight="1" x14ac:dyDescent="0.2">
      <c r="A57" s="62" t="s">
        <v>43</v>
      </c>
      <c r="B57" s="57"/>
      <c r="C57" s="57"/>
      <c r="D57" s="57"/>
      <c r="E57" s="57"/>
      <c r="F57" s="57"/>
      <c r="J57" s="61"/>
    </row>
    <row r="58" spans="1:10" ht="12" customHeight="1" x14ac:dyDescent="0.2">
      <c r="A58" s="78"/>
      <c r="B58" s="78"/>
      <c r="C58" s="78"/>
      <c r="D58" s="78"/>
      <c r="E58" s="78"/>
      <c r="F58" s="78"/>
      <c r="J58" s="61"/>
    </row>
    <row r="59" spans="1:10" ht="12" customHeight="1" x14ac:dyDescent="0.2">
      <c r="A59" s="78"/>
      <c r="B59" s="78"/>
      <c r="C59" s="78"/>
      <c r="D59" s="78"/>
      <c r="E59" s="78"/>
      <c r="F59" s="78"/>
      <c r="J59" s="58">
        <v>3</v>
      </c>
    </row>
    <row r="60" spans="1:10" ht="12" customHeight="1" x14ac:dyDescent="0.2">
      <c r="A60" s="78"/>
      <c r="B60" s="78"/>
      <c r="C60" s="78"/>
      <c r="D60" s="78"/>
      <c r="E60" s="78"/>
      <c r="F60" s="78"/>
      <c r="J60" s="61"/>
    </row>
    <row r="61" spans="1:10" ht="12" customHeight="1" x14ac:dyDescent="0.2">
      <c r="A61" s="78"/>
      <c r="B61" s="78"/>
      <c r="C61" s="78"/>
      <c r="D61" s="78"/>
      <c r="E61" s="78"/>
      <c r="F61" s="78"/>
      <c r="J61" s="61"/>
    </row>
    <row r="62" spans="1:10" ht="12" customHeight="1" x14ac:dyDescent="0.2">
      <c r="A62" s="78"/>
      <c r="B62" s="78"/>
      <c r="C62" s="78"/>
      <c r="D62" s="78"/>
      <c r="E62" s="78"/>
      <c r="F62" s="78"/>
      <c r="J62" s="61"/>
    </row>
    <row r="63" spans="1:10" ht="12" customHeight="1" x14ac:dyDescent="0.2">
      <c r="A63" s="78"/>
      <c r="B63" s="78"/>
      <c r="C63" s="78"/>
      <c r="D63" s="78"/>
      <c r="E63" s="78"/>
      <c r="F63" s="78"/>
      <c r="J63" s="61"/>
    </row>
    <row r="64" spans="1:10" ht="12" customHeight="1" x14ac:dyDescent="0.2">
      <c r="A64" s="78"/>
      <c r="B64" s="78"/>
      <c r="C64" s="78"/>
      <c r="D64" s="78"/>
      <c r="E64" s="78"/>
      <c r="F64" s="78"/>
      <c r="J64" s="61"/>
    </row>
    <row r="65" spans="1:10" ht="12" customHeight="1" x14ac:dyDescent="0.2">
      <c r="A65" s="78"/>
      <c r="B65" s="78"/>
      <c r="C65" s="78"/>
      <c r="D65" s="78"/>
      <c r="E65" s="78"/>
      <c r="F65" s="78"/>
      <c r="J65" s="61"/>
    </row>
    <row r="66" spans="1:10" ht="12" customHeight="1" x14ac:dyDescent="0.2">
      <c r="A66" s="78"/>
      <c r="B66" s="78"/>
      <c r="C66" s="78"/>
      <c r="D66" s="78"/>
      <c r="E66" s="78"/>
      <c r="F66" s="78"/>
      <c r="J66" s="61"/>
    </row>
    <row r="67" spans="1:10" ht="12" customHeight="1" x14ac:dyDescent="0.2">
      <c r="A67" s="78"/>
      <c r="B67" s="78"/>
      <c r="C67" s="78"/>
      <c r="D67" s="78"/>
      <c r="E67" s="78"/>
      <c r="F67" s="78"/>
      <c r="J67" s="61"/>
    </row>
    <row r="68" spans="1:10" ht="12" customHeight="1" x14ac:dyDescent="0.2">
      <c r="A68" s="78"/>
      <c r="B68" s="78"/>
      <c r="C68" s="78"/>
      <c r="D68" s="78"/>
      <c r="E68" s="78"/>
      <c r="F68" s="78"/>
      <c r="J68" s="61"/>
    </row>
    <row r="69" spans="1:10" ht="12" customHeight="1" x14ac:dyDescent="0.2">
      <c r="A69" s="78"/>
      <c r="B69" s="78"/>
      <c r="C69" s="78"/>
      <c r="D69" s="78"/>
      <c r="E69" s="78"/>
      <c r="F69" s="78"/>
      <c r="J69" s="61"/>
    </row>
    <row r="70" spans="1:10" ht="12" customHeight="1" x14ac:dyDescent="0.2">
      <c r="A70" s="78"/>
      <c r="B70" s="78"/>
      <c r="C70" s="78"/>
      <c r="D70" s="78"/>
      <c r="E70" s="78"/>
      <c r="F70" s="78"/>
      <c r="J70" s="61"/>
    </row>
    <row r="71" spans="1:10" ht="12" customHeight="1" x14ac:dyDescent="0.2">
      <c r="A71" s="78"/>
      <c r="B71" s="78"/>
      <c r="C71" s="78"/>
      <c r="D71" s="78"/>
      <c r="E71" s="78"/>
      <c r="F71" s="78"/>
      <c r="J71" s="61"/>
    </row>
    <row r="72" spans="1:10" ht="12" customHeight="1" x14ac:dyDescent="0.2">
      <c r="A72" s="78"/>
      <c r="B72" s="78"/>
      <c r="C72" s="78"/>
      <c r="D72" s="78"/>
      <c r="E72" s="78"/>
      <c r="F72" s="78"/>
      <c r="J72" s="61"/>
    </row>
    <row r="73" spans="1:10" ht="12" customHeight="1" x14ac:dyDescent="0.2">
      <c r="A73" s="78"/>
      <c r="B73" s="78"/>
      <c r="C73" s="78"/>
      <c r="D73" s="78"/>
      <c r="E73" s="78"/>
      <c r="F73" s="78"/>
      <c r="J73" s="61"/>
    </row>
    <row r="74" spans="1:10" ht="12" customHeight="1" x14ac:dyDescent="0.2">
      <c r="A74" s="78"/>
      <c r="B74" s="78"/>
      <c r="C74" s="78"/>
      <c r="D74" s="78"/>
      <c r="E74" s="78"/>
      <c r="F74" s="78"/>
      <c r="J74" s="58">
        <v>3</v>
      </c>
    </row>
    <row r="75" spans="1:10" ht="12" customHeight="1" x14ac:dyDescent="0.2">
      <c r="A75" s="78"/>
      <c r="B75" s="78"/>
      <c r="C75" s="78"/>
      <c r="D75" s="78"/>
      <c r="E75" s="78"/>
      <c r="F75" s="78"/>
      <c r="J75" s="61"/>
    </row>
    <row r="76" spans="1:10" ht="12" customHeight="1" x14ac:dyDescent="0.2">
      <c r="A76" s="78"/>
      <c r="B76" s="78"/>
      <c r="C76" s="78"/>
      <c r="D76" s="78"/>
      <c r="E76" s="78"/>
      <c r="F76" s="78"/>
      <c r="J76" s="61"/>
    </row>
    <row r="77" spans="1:10" ht="12" customHeight="1" x14ac:dyDescent="0.2">
      <c r="A77" s="78"/>
      <c r="B77" s="78"/>
      <c r="C77" s="78"/>
      <c r="D77" s="78"/>
      <c r="E77" s="78"/>
      <c r="F77" s="78"/>
      <c r="J77" s="61"/>
    </row>
    <row r="78" spans="1:10" ht="12" customHeight="1" x14ac:dyDescent="0.2">
      <c r="A78" s="78"/>
      <c r="B78" s="78"/>
      <c r="C78" s="78"/>
      <c r="D78" s="78"/>
      <c r="E78" s="78"/>
      <c r="F78" s="78"/>
      <c r="J78" s="61"/>
    </row>
    <row r="79" spans="1:10" ht="12" customHeight="1" x14ac:dyDescent="0.2">
      <c r="A79" s="78"/>
      <c r="B79" s="78"/>
      <c r="C79" s="78"/>
      <c r="D79" s="78"/>
      <c r="E79" s="78"/>
      <c r="F79" s="78"/>
      <c r="J79" s="61"/>
    </row>
    <row r="80" spans="1:10" ht="12" customHeight="1" x14ac:dyDescent="0.2">
      <c r="A80" s="78"/>
      <c r="B80" s="78"/>
      <c r="C80" s="78"/>
      <c r="D80" s="78"/>
      <c r="E80" s="78"/>
      <c r="F80" s="78"/>
      <c r="J80" s="61"/>
    </row>
    <row r="81" spans="1:10" ht="12" customHeight="1" x14ac:dyDescent="0.2">
      <c r="A81" s="78"/>
      <c r="B81" s="78"/>
      <c r="C81" s="78"/>
      <c r="D81" s="78"/>
      <c r="E81" s="78"/>
      <c r="F81" s="78"/>
      <c r="J81" s="61"/>
    </row>
    <row r="82" spans="1:10" ht="12" customHeight="1" x14ac:dyDescent="0.2">
      <c r="A82" s="78"/>
      <c r="B82" s="78"/>
      <c r="C82" s="78"/>
      <c r="D82" s="78"/>
      <c r="E82" s="78"/>
      <c r="F82" s="78"/>
      <c r="J82" s="61"/>
    </row>
    <row r="83" spans="1:10" ht="12" customHeight="1" x14ac:dyDescent="0.2">
      <c r="A83" s="78"/>
      <c r="B83" s="78"/>
      <c r="C83" s="78"/>
      <c r="D83" s="78"/>
      <c r="E83" s="78"/>
      <c r="F83" s="78"/>
      <c r="J83" s="61"/>
    </row>
    <row r="84" spans="1:10" ht="12" customHeight="1" x14ac:dyDescent="0.2">
      <c r="A84" s="78"/>
      <c r="B84" s="78"/>
      <c r="C84" s="78"/>
      <c r="D84" s="78"/>
      <c r="E84" s="78"/>
      <c r="F84" s="78"/>
      <c r="J84" s="61"/>
    </row>
    <row r="85" spans="1:10" ht="12" customHeight="1" x14ac:dyDescent="0.2">
      <c r="A85" s="78"/>
      <c r="B85" s="78"/>
      <c r="C85" s="78"/>
      <c r="D85" s="78"/>
      <c r="E85" s="78"/>
      <c r="F85" s="78"/>
      <c r="J85" s="61"/>
    </row>
    <row r="86" spans="1:10" ht="12" customHeight="1" x14ac:dyDescent="0.2">
      <c r="A86" s="78"/>
      <c r="B86" s="78"/>
      <c r="C86" s="78"/>
      <c r="D86" s="78"/>
      <c r="E86" s="78"/>
      <c r="F86" s="78"/>
      <c r="J86" s="61"/>
    </row>
    <row r="87" spans="1:10" ht="12" customHeight="1" x14ac:dyDescent="0.2">
      <c r="A87" s="78"/>
      <c r="B87" s="78"/>
      <c r="C87" s="78"/>
      <c r="D87" s="78"/>
      <c r="E87" s="78"/>
      <c r="F87" s="78"/>
      <c r="J87" s="61"/>
    </row>
    <row r="88" spans="1:10" ht="12" customHeight="1" x14ac:dyDescent="0.2">
      <c r="A88" s="78"/>
      <c r="B88" s="78"/>
      <c r="C88" s="78"/>
      <c r="D88" s="78"/>
      <c r="E88" s="78"/>
      <c r="F88" s="78"/>
      <c r="J88" s="61"/>
    </row>
    <row r="89" spans="1:10" ht="12" customHeight="1" x14ac:dyDescent="0.2">
      <c r="A89" s="78"/>
      <c r="B89" s="78"/>
      <c r="C89" s="78"/>
      <c r="D89" s="78"/>
      <c r="E89" s="78"/>
      <c r="F89" s="78"/>
      <c r="J89" s="61"/>
    </row>
    <row r="90" spans="1:10" ht="12" customHeight="1" x14ac:dyDescent="0.2">
      <c r="A90" s="78"/>
      <c r="B90" s="78"/>
      <c r="C90" s="78"/>
      <c r="D90" s="78"/>
      <c r="E90" s="78"/>
      <c r="F90" s="78"/>
      <c r="J90" s="61"/>
    </row>
    <row r="91" spans="1:10" ht="12" customHeight="1" x14ac:dyDescent="0.2">
      <c r="A91" s="78"/>
      <c r="B91" s="78"/>
      <c r="C91" s="78"/>
      <c r="D91" s="78"/>
      <c r="E91" s="78"/>
      <c r="F91" s="78"/>
      <c r="J91" s="61"/>
    </row>
    <row r="92" spans="1:10" ht="12" customHeight="1" outlineLevel="1" x14ac:dyDescent="0.2">
      <c r="A92" s="78"/>
      <c r="B92" s="78"/>
      <c r="C92" s="78"/>
      <c r="D92" s="78"/>
      <c r="E92" s="78"/>
      <c r="F92" s="78"/>
      <c r="J92" s="61"/>
    </row>
    <row r="93" spans="1:10" ht="12" customHeight="1" outlineLevel="1" x14ac:dyDescent="0.2">
      <c r="A93" s="78"/>
      <c r="B93" s="78"/>
      <c r="C93" s="78"/>
      <c r="D93" s="78"/>
      <c r="E93" s="78"/>
      <c r="F93" s="78"/>
    </row>
    <row r="94" spans="1:10" ht="12" customHeight="1" outlineLevel="1" x14ac:dyDescent="0.2">
      <c r="A94" s="78"/>
      <c r="B94" s="78"/>
      <c r="C94" s="78"/>
      <c r="D94" s="78"/>
      <c r="E94" s="78"/>
      <c r="F94" s="78"/>
    </row>
    <row r="95" spans="1:10" ht="12" customHeight="1" outlineLevel="1" x14ac:dyDescent="0.2">
      <c r="A95" s="78"/>
      <c r="B95" s="78"/>
      <c r="C95" s="78"/>
      <c r="D95" s="78"/>
      <c r="E95" s="78"/>
      <c r="F95" s="78"/>
    </row>
    <row r="96" spans="1:10" ht="12" customHeight="1" outlineLevel="1" x14ac:dyDescent="0.2">
      <c r="A96" s="78"/>
      <c r="B96" s="78"/>
      <c r="C96" s="78"/>
      <c r="D96" s="78"/>
      <c r="E96" s="78"/>
      <c r="F96" s="78"/>
    </row>
    <row r="97" spans="1:6" ht="12" customHeight="1" outlineLevel="1" x14ac:dyDescent="0.2">
      <c r="A97" s="78"/>
      <c r="B97" s="78"/>
      <c r="C97" s="78"/>
      <c r="D97" s="78"/>
      <c r="E97" s="78"/>
      <c r="F97" s="78"/>
    </row>
    <row r="98" spans="1:6" ht="12" customHeight="1" outlineLevel="1" x14ac:dyDescent="0.2">
      <c r="A98" s="78"/>
      <c r="B98" s="78"/>
      <c r="C98" s="78"/>
      <c r="D98" s="78"/>
      <c r="E98" s="78"/>
      <c r="F98" s="78"/>
    </row>
    <row r="99" spans="1:6" ht="12" customHeight="1" outlineLevel="1" x14ac:dyDescent="0.2">
      <c r="A99" s="78"/>
      <c r="B99" s="78"/>
      <c r="C99" s="78"/>
      <c r="D99" s="78"/>
      <c r="E99" s="78"/>
      <c r="F99" s="78"/>
    </row>
    <row r="100" spans="1:6" ht="12" customHeight="1" outlineLevel="1" x14ac:dyDescent="0.2">
      <c r="A100" s="78"/>
      <c r="B100" s="78"/>
      <c r="C100" s="78"/>
      <c r="D100" s="78"/>
      <c r="E100" s="78"/>
      <c r="F100" s="78"/>
    </row>
    <row r="101" spans="1:6" ht="12" customHeight="1" outlineLevel="1" x14ac:dyDescent="0.2">
      <c r="A101" s="78"/>
      <c r="B101" s="78"/>
      <c r="C101" s="78"/>
      <c r="D101" s="78"/>
      <c r="E101" s="78"/>
      <c r="F101" s="78"/>
    </row>
    <row r="102" spans="1:6" ht="12" customHeight="1" outlineLevel="1" x14ac:dyDescent="0.2">
      <c r="A102" s="78"/>
      <c r="B102" s="78"/>
      <c r="C102" s="78"/>
      <c r="D102" s="78"/>
      <c r="E102" s="78"/>
      <c r="F102" s="78"/>
    </row>
    <row r="103" spans="1:6" ht="12" customHeight="1" outlineLevel="1" x14ac:dyDescent="0.2">
      <c r="A103" s="78"/>
      <c r="B103" s="78"/>
      <c r="C103" s="78"/>
      <c r="D103" s="78"/>
      <c r="E103" s="78"/>
      <c r="F103" s="78"/>
    </row>
    <row r="104" spans="1:6" ht="12" customHeight="1" outlineLevel="1" x14ac:dyDescent="0.2">
      <c r="A104" s="78"/>
      <c r="B104" s="78"/>
      <c r="C104" s="78"/>
      <c r="D104" s="78"/>
      <c r="E104" s="78"/>
      <c r="F104" s="78"/>
    </row>
    <row r="105" spans="1:6" ht="12" customHeight="1" outlineLevel="1" x14ac:dyDescent="0.2">
      <c r="A105" s="78"/>
      <c r="B105" s="78"/>
      <c r="C105" s="78"/>
      <c r="D105" s="78"/>
      <c r="E105" s="78"/>
      <c r="F105" s="78"/>
    </row>
    <row r="106" spans="1:6" ht="12" customHeight="1" outlineLevel="1" x14ac:dyDescent="0.2">
      <c r="A106" s="78"/>
      <c r="B106" s="78"/>
      <c r="C106" s="78"/>
      <c r="D106" s="78"/>
      <c r="E106" s="78"/>
      <c r="F106" s="78"/>
    </row>
    <row r="107" spans="1:6" ht="12" customHeight="1" outlineLevel="1" x14ac:dyDescent="0.2">
      <c r="A107" s="78"/>
      <c r="B107" s="78"/>
      <c r="C107" s="78"/>
      <c r="D107" s="78"/>
      <c r="E107" s="78"/>
      <c r="F107" s="78"/>
    </row>
    <row r="108" spans="1:6" ht="12" customHeight="1" outlineLevel="1" x14ac:dyDescent="0.2">
      <c r="A108" s="78"/>
      <c r="B108" s="78"/>
      <c r="C108" s="78"/>
      <c r="D108" s="78"/>
      <c r="E108" s="78"/>
      <c r="F108" s="78"/>
    </row>
    <row r="109" spans="1:6" ht="12" customHeight="1" outlineLevel="1" x14ac:dyDescent="0.2">
      <c r="A109" s="78"/>
      <c r="B109" s="78"/>
      <c r="C109" s="78"/>
      <c r="D109" s="78"/>
      <c r="E109" s="78"/>
      <c r="F109" s="78"/>
    </row>
  </sheetData>
  <sheetProtection selectLockedCells="1" selectUnlockedCells="1"/>
  <conditionalFormatting sqref="A10:C10 E10:I10">
    <cfRule type="cellIs" dxfId="218" priority="1" stopIfTrue="1" operator="equal">
      <formula>"Not Acceptable"</formula>
    </cfRule>
    <cfRule type="cellIs" dxfId="217" priority="2" stopIfTrue="1" operator="equal">
      <formula>"Acceptable"</formula>
    </cfRule>
    <cfRule type="cellIs" dxfId="216" priority="3" stopIfTrue="1" operator="equal">
      <formula>"Low"</formula>
    </cfRule>
  </conditionalFormatting>
  <conditionalFormatting sqref="D10">
    <cfRule type="cellIs" dxfId="215" priority="4" stopIfTrue="1" operator="equal">
      <formula>"Not Acceptable"</formula>
    </cfRule>
    <cfRule type="cellIs" dxfId="214" priority="5" stopIfTrue="1" operator="equal">
      <formula>"Acceptable"</formula>
    </cfRule>
    <cfRule type="cellIs" dxfId="213" priority="6" stopIfTrue="1" operator="equal">
      <formula>"Low"</formula>
    </cfRule>
  </conditionalFormatting>
  <dataValidations count="5">
    <dataValidation type="list" allowBlank="1" showErrorMessage="1" sqref="B8:F8" xr:uid="{00000000-0002-0000-0100-000000000000}">
      <formula1>Browser_list</formula1>
      <formula2>0</formula2>
    </dataValidation>
    <dataValidation type="list" allowBlank="1" showErrorMessage="1" sqref="B4:F4" xr:uid="{00000000-0002-0000-0100-000001000000}">
      <formula1>Test_types</formula1>
      <formula2>0</formula2>
    </dataValidation>
    <dataValidation type="list" allowBlank="1" showErrorMessage="1" sqref="B6:F6" xr:uid="{00000000-0002-0000-0100-000002000000}">
      <formula1>Test_Team</formula1>
      <formula2>0</formula2>
    </dataValidation>
    <dataValidation type="list" allowBlank="1" showErrorMessage="1" sqref="B7:F7" xr:uid="{00000000-0002-0000-0100-000003000000}">
      <formula1>Environment_OS</formula1>
      <formula2>0</formula2>
    </dataValidation>
    <dataValidation type="list" allowBlank="1" showErrorMessage="1" sqref="B10:F10" xr:uid="{00000000-0002-0000-0100-000004000000}">
      <formula1>Quality_range</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5592"/>
  <sheetViews>
    <sheetView tabSelected="1" zoomScaleNormal="100" workbookViewId="0">
      <pane xSplit="4" ySplit="7" topLeftCell="E56" activePane="bottomRight" state="frozen"/>
      <selection pane="topRight" activeCell="E1" sqref="E1"/>
      <selection pane="bottomLeft" activeCell="A8" sqref="A8"/>
      <selection pane="bottomRight" activeCell="C34" sqref="C34"/>
    </sheetView>
  </sheetViews>
  <sheetFormatPr defaultRowHeight="12" customHeight="1" outlineLevelRow="1" outlineLevelCol="1" x14ac:dyDescent="0.2"/>
  <cols>
    <col min="1" max="2" width="16.7109375" style="25" customWidth="1"/>
    <col min="3" max="3" width="33.140625" style="25" customWidth="1"/>
    <col min="4" max="4" width="25.140625" style="25" customWidth="1"/>
    <col min="5" max="5" width="16.7109375" style="25" customWidth="1"/>
    <col min="6" max="6" width="16.7109375" style="25" customWidth="1" outlineLevel="1"/>
    <col min="7" max="7" width="35.140625" style="25" customWidth="1" outlineLevel="1"/>
    <col min="8" max="8" width="20.7109375" style="25" customWidth="1"/>
    <col min="9" max="10" width="35.7109375" style="25" customWidth="1"/>
    <col min="11" max="16384" width="9.140625" style="25"/>
  </cols>
  <sheetData>
    <row r="1" spans="1:7" ht="12" customHeight="1" x14ac:dyDescent="0.2">
      <c r="A1" s="79"/>
      <c r="B1" s="79" t="s">
        <v>145</v>
      </c>
      <c r="C1" s="79"/>
      <c r="D1" s="79"/>
      <c r="E1" s="152">
        <v>1</v>
      </c>
      <c r="F1" s="152"/>
      <c r="G1" s="152"/>
    </row>
    <row r="2" spans="1:7" ht="12" customHeight="1" x14ac:dyDescent="0.2">
      <c r="A2" s="79"/>
      <c r="B2" s="79" t="s">
        <v>9</v>
      </c>
      <c r="C2" s="79"/>
      <c r="D2" s="79"/>
      <c r="E2" s="152" t="s">
        <v>14</v>
      </c>
      <c r="F2" s="152"/>
      <c r="G2" s="152"/>
    </row>
    <row r="3" spans="1:7" ht="12" customHeight="1" x14ac:dyDescent="0.2">
      <c r="A3" s="79"/>
      <c r="B3" s="79" t="s">
        <v>25</v>
      </c>
      <c r="C3" s="79"/>
      <c r="D3" s="79"/>
      <c r="E3" s="152" t="s">
        <v>180</v>
      </c>
      <c r="F3" s="152"/>
      <c r="G3" s="152"/>
    </row>
    <row r="4" spans="1:7" ht="12" customHeight="1" x14ac:dyDescent="0.2">
      <c r="A4" s="79"/>
      <c r="B4" s="79" t="s">
        <v>27</v>
      </c>
      <c r="C4" s="79"/>
      <c r="D4" s="79"/>
      <c r="E4" s="152" t="s">
        <v>181</v>
      </c>
      <c r="F4" s="152"/>
      <c r="G4" s="152"/>
    </row>
    <row r="5" spans="1:7" ht="12" customHeight="1" x14ac:dyDescent="0.2">
      <c r="A5" s="79"/>
      <c r="B5" s="151" t="s">
        <v>146</v>
      </c>
      <c r="C5" s="151"/>
      <c r="D5" s="151"/>
      <c r="E5" s="154" t="s">
        <v>249</v>
      </c>
      <c r="F5" s="152"/>
      <c r="G5" s="152"/>
    </row>
    <row r="6" spans="1:7" ht="12" customHeight="1" x14ac:dyDescent="0.2">
      <c r="A6" s="79"/>
      <c r="B6" s="151" t="s">
        <v>147</v>
      </c>
      <c r="C6" s="151"/>
      <c r="D6" s="151"/>
      <c r="E6" s="152" t="s">
        <v>182</v>
      </c>
      <c r="F6" s="152"/>
      <c r="G6" s="152"/>
    </row>
    <row r="7" spans="1:7" ht="12" customHeight="1" x14ac:dyDescent="0.2">
      <c r="A7" s="79"/>
      <c r="B7" s="151" t="s">
        <v>31</v>
      </c>
      <c r="C7" s="151"/>
      <c r="D7" s="151"/>
      <c r="E7" s="152" t="s">
        <v>183</v>
      </c>
      <c r="F7" s="152"/>
      <c r="G7" s="152"/>
    </row>
    <row r="8" spans="1:7" ht="12" customHeight="1" outlineLevel="1" x14ac:dyDescent="0.2">
      <c r="A8" s="80"/>
      <c r="B8" s="80" t="s">
        <v>148</v>
      </c>
      <c r="C8" s="80"/>
      <c r="D8" s="80"/>
      <c r="E8" s="153" t="s">
        <v>149</v>
      </c>
      <c r="F8" s="153"/>
      <c r="G8" s="153"/>
    </row>
    <row r="9" spans="1:7" ht="12" customHeight="1" outlineLevel="1" x14ac:dyDescent="0.2">
      <c r="A9"/>
      <c r="B9" s="81" t="s">
        <v>150</v>
      </c>
      <c r="C9" s="82" t="s">
        <v>179</v>
      </c>
      <c r="D9" s="83"/>
      <c r="E9" s="84" t="s">
        <v>151</v>
      </c>
      <c r="F9" s="84" t="s">
        <v>152</v>
      </c>
      <c r="G9" s="84" t="s">
        <v>153</v>
      </c>
    </row>
    <row r="10" spans="1:7" ht="12" customHeight="1" outlineLevel="1" x14ac:dyDescent="0.2">
      <c r="A10"/>
      <c r="B10" s="81" t="s">
        <v>154</v>
      </c>
      <c r="C10" s="136" t="s">
        <v>249</v>
      </c>
      <c r="D10" s="83"/>
      <c r="E10" s="85" t="s">
        <v>98</v>
      </c>
      <c r="F10" s="86">
        <f>COUNTIF('Front End'!E$22:E$156,"OK")</f>
        <v>21</v>
      </c>
      <c r="G10" s="87">
        <f>IF(ISERROR(F10/F20),"",F10/F20)</f>
        <v>0.26250000000000001</v>
      </c>
    </row>
    <row r="11" spans="1:7" ht="12" customHeight="1" outlineLevel="1" x14ac:dyDescent="0.2">
      <c r="A11"/>
      <c r="B11" s="81"/>
      <c r="C11" s="82"/>
      <c r="D11" s="83"/>
      <c r="E11" s="85" t="s">
        <v>100</v>
      </c>
      <c r="F11" s="86">
        <f>COUNTIF('Front End'!E$22:E$156,"Partially tested")</f>
        <v>0</v>
      </c>
      <c r="G11" s="87">
        <f>IF(ISERROR(F11/F20),"",F11/F20)</f>
        <v>0</v>
      </c>
    </row>
    <row r="12" spans="1:7" ht="12" customHeight="1" outlineLevel="1" x14ac:dyDescent="0.2">
      <c r="A12"/>
      <c r="B12" s="81"/>
      <c r="C12" s="82"/>
      <c r="D12" s="83"/>
      <c r="E12" s="85" t="s">
        <v>95</v>
      </c>
      <c r="F12" s="86">
        <f>COUNTIF('Front End'!E$27:E$156,"Enhancement")</f>
        <v>0</v>
      </c>
      <c r="G12" s="87">
        <f>IF(ISERROR(F12/F20),"",F12/F20)</f>
        <v>0</v>
      </c>
    </row>
    <row r="13" spans="1:7" ht="12" customHeight="1" outlineLevel="1" x14ac:dyDescent="0.2">
      <c r="A13" s="82"/>
      <c r="B13" s="81"/>
      <c r="C13" s="83"/>
      <c r="D13" s="83"/>
      <c r="E13" s="85" t="s">
        <v>93</v>
      </c>
      <c r="F13" s="86">
        <f>COUNTIF('Front End'!E$22:E$156,"Minor")</f>
        <v>16</v>
      </c>
      <c r="G13" s="87">
        <f>IF(ISERROR(F13/F20),"",F13/F20)</f>
        <v>0.2</v>
      </c>
    </row>
    <row r="14" spans="1:7" ht="12" customHeight="1" outlineLevel="1" x14ac:dyDescent="0.2">
      <c r="A14" s="82"/>
      <c r="B14" s="82"/>
      <c r="C14" s="88"/>
      <c r="D14" s="89"/>
      <c r="E14" s="85" t="s">
        <v>91</v>
      </c>
      <c r="F14" s="86">
        <f>COUNTIF('Front End'!E$22:E$156,"Average")</f>
        <v>5</v>
      </c>
      <c r="G14" s="87">
        <f>IF(ISERROR(F14/F20),"",F14/F20)</f>
        <v>6.25E-2</v>
      </c>
    </row>
    <row r="15" spans="1:7" ht="12" customHeight="1" outlineLevel="1" x14ac:dyDescent="0.2">
      <c r="A15" s="82"/>
      <c r="B15" s="82"/>
      <c r="C15" s="88"/>
      <c r="D15" s="89"/>
      <c r="E15" s="85" t="s">
        <v>89</v>
      </c>
      <c r="F15" s="86">
        <f>COUNTIF('Front End'!E$22:E$156,"Major")</f>
        <v>22</v>
      </c>
      <c r="G15" s="87">
        <f>IF(ISERROR(F15/F20),"",F15/F20)</f>
        <v>0.27500000000000002</v>
      </c>
    </row>
    <row r="16" spans="1:7" ht="12" customHeight="1" outlineLevel="1" x14ac:dyDescent="0.2">
      <c r="A16" s="82"/>
      <c r="B16" s="82"/>
      <c r="C16" s="88"/>
      <c r="D16" s="89"/>
      <c r="E16" s="85" t="s">
        <v>87</v>
      </c>
      <c r="F16" s="86">
        <f>COUNTIF('Front End'!E$22:E$156,"Critical")</f>
        <v>1</v>
      </c>
      <c r="G16" s="87">
        <f>IF(ISERROR(F16/F20),"",F16/F20)</f>
        <v>1.2500000000000001E-2</v>
      </c>
    </row>
    <row r="17" spans="1:7" ht="12" customHeight="1" outlineLevel="1" x14ac:dyDescent="0.2">
      <c r="A17" s="82"/>
      <c r="B17" s="82"/>
      <c r="C17" s="88"/>
      <c r="D17" s="89"/>
      <c r="E17" s="85" t="s">
        <v>107</v>
      </c>
      <c r="F17" s="86">
        <f>COUNTIF('Front End'!E$22:E$156,"Not available")</f>
        <v>14</v>
      </c>
      <c r="G17" s="87">
        <f>IF(ISERROR(F17/F20),"",F17/F20)</f>
        <v>0.17499999999999999</v>
      </c>
    </row>
    <row r="18" spans="1:7" ht="12" customHeight="1" outlineLevel="1" x14ac:dyDescent="0.2">
      <c r="A18" s="90"/>
      <c r="B18" s="83"/>
      <c r="C18" s="83"/>
      <c r="D18" s="83"/>
      <c r="E18" s="85" t="s">
        <v>109</v>
      </c>
      <c r="F18" s="86">
        <f>COUNTIF('Front End'!E$22:E$156,"Not implemented")</f>
        <v>1</v>
      </c>
      <c r="G18" s="87">
        <f>IF(ISERROR(F18/F20),"",F18/F20)</f>
        <v>1.2500000000000001E-2</v>
      </c>
    </row>
    <row r="19" spans="1:7" ht="11.25" customHeight="1" outlineLevel="1" x14ac:dyDescent="0.2">
      <c r="A19" s="83"/>
      <c r="B19" s="83"/>
      <c r="C19" s="83"/>
      <c r="D19" s="83"/>
      <c r="E19" s="85" t="s">
        <v>111</v>
      </c>
      <c r="F19" s="86">
        <f>COUNTIF('Front End'!E$22:E$156,"Not tested")</f>
        <v>0</v>
      </c>
      <c r="G19" s="87">
        <f>IF(ISERROR(F19/F20),"",F19/F20)</f>
        <v>0</v>
      </c>
    </row>
    <row r="20" spans="1:7" ht="12" customHeight="1" outlineLevel="1" x14ac:dyDescent="0.2">
      <c r="A20" s="83"/>
      <c r="B20" s="83"/>
      <c r="C20" s="83"/>
      <c r="D20" s="83"/>
      <c r="E20" s="84" t="s">
        <v>155</v>
      </c>
      <c r="F20" s="91">
        <f>COUNTA('Front End'!E$22:E$156)</f>
        <v>80</v>
      </c>
      <c r="G20" s="92"/>
    </row>
    <row r="21" spans="1:7" ht="12" customHeight="1" x14ac:dyDescent="0.2">
      <c r="A21" s="80" t="s">
        <v>9</v>
      </c>
      <c r="B21" s="80" t="s">
        <v>156</v>
      </c>
      <c r="C21" s="80" t="s">
        <v>157</v>
      </c>
      <c r="D21" s="80"/>
      <c r="E21" s="80" t="s">
        <v>158</v>
      </c>
      <c r="F21" s="80" t="s">
        <v>159</v>
      </c>
      <c r="G21" s="80" t="s">
        <v>43</v>
      </c>
    </row>
    <row r="22" spans="1:7" ht="12" customHeight="1" x14ac:dyDescent="0.2">
      <c r="A22" s="92"/>
      <c r="B22" s="93" t="s">
        <v>185</v>
      </c>
      <c r="C22" s="92"/>
      <c r="D22" s="92"/>
      <c r="E22" s="92"/>
      <c r="F22" s="92"/>
      <c r="G22" s="94"/>
    </row>
    <row r="23" spans="1:7" ht="12" customHeight="1" x14ac:dyDescent="0.2">
      <c r="A23" s="92"/>
      <c r="B23" s="93"/>
      <c r="C23" s="92" t="s">
        <v>248</v>
      </c>
      <c r="D23" s="92"/>
      <c r="E23" s="92"/>
      <c r="F23" s="92"/>
      <c r="G23" s="94"/>
    </row>
    <row r="24" spans="1:7" ht="12" customHeight="1" x14ac:dyDescent="0.2">
      <c r="A24" s="60" t="s">
        <v>14</v>
      </c>
      <c r="B24" s="82"/>
      <c r="C24" s="82"/>
      <c r="D24" s="82" t="s">
        <v>160</v>
      </c>
      <c r="E24" s="30" t="s">
        <v>93</v>
      </c>
      <c r="F24" s="82"/>
      <c r="G24" s="82"/>
    </row>
    <row r="25" spans="1:7" ht="12" customHeight="1" outlineLevel="1" x14ac:dyDescent="0.2">
      <c r="A25" s="60" t="s">
        <v>14</v>
      </c>
      <c r="B25" s="82"/>
      <c r="C25" s="93" t="s">
        <v>186</v>
      </c>
      <c r="D25" s="93"/>
      <c r="E25" s="93"/>
      <c r="F25" s="93"/>
      <c r="G25" s="93"/>
    </row>
    <row r="26" spans="1:7" ht="12" customHeight="1" outlineLevel="1" x14ac:dyDescent="0.2">
      <c r="A26" s="60" t="s">
        <v>14</v>
      </c>
      <c r="B26" s="95"/>
      <c r="C26" s="82"/>
      <c r="D26" s="82" t="s">
        <v>160</v>
      </c>
      <c r="E26" s="30" t="s">
        <v>93</v>
      </c>
      <c r="F26" s="137"/>
      <c r="G26" s="30"/>
    </row>
    <row r="27" spans="1:7" ht="12" customHeight="1" outlineLevel="1" x14ac:dyDescent="0.2">
      <c r="A27" s="60" t="s">
        <v>14</v>
      </c>
      <c r="B27" s="96"/>
      <c r="C27" s="82"/>
      <c r="D27" s="82" t="s">
        <v>218</v>
      </c>
      <c r="E27" s="30" t="s">
        <v>98</v>
      </c>
      <c r="F27" s="137"/>
      <c r="G27" s="30"/>
    </row>
    <row r="28" spans="1:7" ht="12" customHeight="1" outlineLevel="1" x14ac:dyDescent="0.2">
      <c r="A28" s="60" t="s">
        <v>10</v>
      </c>
      <c r="B28" s="96"/>
      <c r="C28" s="82"/>
      <c r="D28" s="82" t="s">
        <v>205</v>
      </c>
      <c r="E28" s="30" t="s">
        <v>89</v>
      </c>
      <c r="F28" s="137"/>
      <c r="G28" s="30"/>
    </row>
    <row r="29" spans="1:7" ht="12" customHeight="1" outlineLevel="1" x14ac:dyDescent="0.2">
      <c r="A29" s="60" t="s">
        <v>14</v>
      </c>
      <c r="B29" s="82"/>
      <c r="C29" s="93" t="s">
        <v>187</v>
      </c>
      <c r="D29" s="93"/>
      <c r="E29" s="93"/>
      <c r="F29" s="138"/>
      <c r="G29" s="140"/>
    </row>
    <row r="30" spans="1:7" ht="12" customHeight="1" outlineLevel="1" x14ac:dyDescent="0.2">
      <c r="A30" s="60" t="s">
        <v>14</v>
      </c>
      <c r="B30" s="95"/>
      <c r="C30" s="82"/>
      <c r="D30" s="82" t="s">
        <v>160</v>
      </c>
      <c r="E30" s="30" t="s">
        <v>93</v>
      </c>
      <c r="F30" s="137"/>
      <c r="G30" s="30"/>
    </row>
    <row r="31" spans="1:7" ht="12" customHeight="1" outlineLevel="1" x14ac:dyDescent="0.2">
      <c r="A31" s="60" t="s">
        <v>10</v>
      </c>
      <c r="B31" s="96"/>
      <c r="C31" s="82"/>
      <c r="D31" s="82" t="s">
        <v>188</v>
      </c>
      <c r="E31" s="30" t="s">
        <v>89</v>
      </c>
      <c r="F31" s="137"/>
      <c r="G31" s="30"/>
    </row>
    <row r="32" spans="1:7" ht="12" customHeight="1" outlineLevel="1" x14ac:dyDescent="0.2">
      <c r="A32" s="92"/>
      <c r="B32" s="93" t="s">
        <v>193</v>
      </c>
      <c r="C32" s="93"/>
      <c r="D32" s="93"/>
      <c r="E32" s="93"/>
      <c r="F32" s="138"/>
      <c r="G32" s="140"/>
    </row>
    <row r="33" spans="1:7" ht="12" customHeight="1" outlineLevel="1" x14ac:dyDescent="0.2">
      <c r="A33" s="60" t="s">
        <v>14</v>
      </c>
      <c r="B33" s="96"/>
      <c r="C33" s="82"/>
      <c r="D33" s="82" t="s">
        <v>160</v>
      </c>
      <c r="E33" s="30" t="s">
        <v>93</v>
      </c>
      <c r="F33" s="137"/>
      <c r="G33" s="30"/>
    </row>
    <row r="34" spans="1:7" ht="12" customHeight="1" outlineLevel="1" x14ac:dyDescent="0.2">
      <c r="A34" s="60" t="s">
        <v>10</v>
      </c>
      <c r="B34" s="96"/>
      <c r="C34" s="82"/>
      <c r="D34" s="82" t="s">
        <v>209</v>
      </c>
      <c r="E34" s="30" t="s">
        <v>98</v>
      </c>
      <c r="F34" s="137"/>
      <c r="G34" s="30"/>
    </row>
    <row r="35" spans="1:7" ht="12" customHeight="1" outlineLevel="1" x14ac:dyDescent="0.2">
      <c r="A35" s="92"/>
      <c r="B35" s="93" t="s">
        <v>184</v>
      </c>
      <c r="C35" s="92"/>
      <c r="D35" s="92"/>
      <c r="E35" s="92"/>
      <c r="F35" s="139"/>
      <c r="G35" s="140"/>
    </row>
    <row r="36" spans="1:7" ht="12" customHeight="1" outlineLevel="1" x14ac:dyDescent="0.2">
      <c r="A36" s="60" t="s">
        <v>14</v>
      </c>
      <c r="B36" s="96"/>
      <c r="C36" s="93" t="s">
        <v>189</v>
      </c>
      <c r="D36" s="93"/>
      <c r="E36" s="92"/>
      <c r="F36" s="138"/>
      <c r="G36" s="140"/>
    </row>
    <row r="37" spans="1:7" ht="12" customHeight="1" outlineLevel="1" x14ac:dyDescent="0.2">
      <c r="A37" s="60" t="s">
        <v>14</v>
      </c>
      <c r="B37" s="96"/>
      <c r="C37" s="82"/>
      <c r="D37" s="82" t="s">
        <v>160</v>
      </c>
      <c r="E37" s="30" t="s">
        <v>98</v>
      </c>
      <c r="F37" s="137"/>
      <c r="G37" s="30"/>
    </row>
    <row r="38" spans="1:7" ht="12" customHeight="1" outlineLevel="1" x14ac:dyDescent="0.2">
      <c r="A38" s="60" t="s">
        <v>14</v>
      </c>
      <c r="B38" s="96"/>
      <c r="C38" s="82"/>
      <c r="D38" s="82" t="s">
        <v>190</v>
      </c>
      <c r="E38" s="30" t="s">
        <v>98</v>
      </c>
      <c r="F38" s="137"/>
      <c r="G38" s="30"/>
    </row>
    <row r="39" spans="1:7" ht="12" customHeight="1" outlineLevel="1" x14ac:dyDescent="0.2">
      <c r="A39" s="60" t="s">
        <v>10</v>
      </c>
      <c r="B39" s="96"/>
      <c r="C39" s="82"/>
      <c r="D39" s="82" t="s">
        <v>191</v>
      </c>
      <c r="E39" s="30" t="s">
        <v>109</v>
      </c>
      <c r="F39" s="137"/>
      <c r="G39" s="30"/>
    </row>
    <row r="40" spans="1:7" ht="12" customHeight="1" outlineLevel="1" x14ac:dyDescent="0.2">
      <c r="A40" s="60" t="s">
        <v>14</v>
      </c>
      <c r="B40" s="96"/>
      <c r="C40" s="93" t="s">
        <v>192</v>
      </c>
      <c r="D40" s="93"/>
      <c r="E40" s="93"/>
      <c r="F40" s="138"/>
      <c r="G40" s="140"/>
    </row>
    <row r="41" spans="1:7" ht="12" customHeight="1" outlineLevel="1" x14ac:dyDescent="0.2">
      <c r="A41" s="60" t="s">
        <v>14</v>
      </c>
      <c r="B41" s="96"/>
      <c r="C41" s="82"/>
      <c r="D41" s="82" t="s">
        <v>160</v>
      </c>
      <c r="E41" s="30" t="s">
        <v>93</v>
      </c>
      <c r="F41" s="137"/>
      <c r="G41" s="30"/>
    </row>
    <row r="42" spans="1:7" ht="12" customHeight="1" outlineLevel="1" x14ac:dyDescent="0.2">
      <c r="A42" s="92"/>
      <c r="B42" s="93" t="s">
        <v>195</v>
      </c>
      <c r="C42" s="92"/>
      <c r="D42" s="92"/>
      <c r="E42" s="92"/>
      <c r="F42" s="139"/>
      <c r="G42" s="140"/>
    </row>
    <row r="43" spans="1:7" ht="12" customHeight="1" outlineLevel="1" x14ac:dyDescent="0.2">
      <c r="A43" s="60" t="s">
        <v>14</v>
      </c>
      <c r="B43" s="96"/>
      <c r="C43" s="93" t="s">
        <v>194</v>
      </c>
      <c r="D43" s="93"/>
      <c r="E43" s="92"/>
      <c r="F43" s="138"/>
      <c r="G43" s="140"/>
    </row>
    <row r="44" spans="1:7" ht="12" customHeight="1" outlineLevel="1" x14ac:dyDescent="0.2">
      <c r="A44" s="60" t="s">
        <v>14</v>
      </c>
      <c r="B44" s="96"/>
      <c r="C44" s="82"/>
      <c r="D44" s="82" t="s">
        <v>160</v>
      </c>
      <c r="E44" s="30" t="s">
        <v>93</v>
      </c>
      <c r="F44" s="137"/>
      <c r="G44" s="30"/>
    </row>
    <row r="45" spans="1:7" ht="12" customHeight="1" outlineLevel="1" x14ac:dyDescent="0.2">
      <c r="A45" s="60" t="s">
        <v>10</v>
      </c>
      <c r="B45" s="96"/>
      <c r="C45" s="82"/>
      <c r="D45" s="82" t="s">
        <v>196</v>
      </c>
      <c r="E45" s="30" t="s">
        <v>91</v>
      </c>
      <c r="F45" s="137"/>
      <c r="G45" s="30"/>
    </row>
    <row r="46" spans="1:7" ht="12" customHeight="1" outlineLevel="1" x14ac:dyDescent="0.2">
      <c r="A46" s="60" t="s">
        <v>14</v>
      </c>
      <c r="B46" s="96"/>
      <c r="C46" s="82"/>
      <c r="D46" s="82" t="s">
        <v>197</v>
      </c>
      <c r="E46" s="30" t="s">
        <v>98</v>
      </c>
      <c r="F46" s="137"/>
      <c r="G46" s="30"/>
    </row>
    <row r="47" spans="1:7" ht="12" customHeight="1" outlineLevel="1" x14ac:dyDescent="0.2">
      <c r="A47" s="60" t="s">
        <v>14</v>
      </c>
      <c r="B47" s="96"/>
      <c r="C47" s="82"/>
      <c r="D47" s="83" t="s">
        <v>198</v>
      </c>
      <c r="E47" s="30" t="s">
        <v>98</v>
      </c>
      <c r="F47" s="137"/>
      <c r="G47" s="30"/>
    </row>
    <row r="48" spans="1:7" ht="12" customHeight="1" outlineLevel="1" x14ac:dyDescent="0.2">
      <c r="A48" s="60" t="s">
        <v>14</v>
      </c>
      <c r="B48" s="96"/>
      <c r="C48" s="82"/>
      <c r="D48" s="82" t="s">
        <v>199</v>
      </c>
      <c r="E48" s="30" t="s">
        <v>93</v>
      </c>
      <c r="F48" s="137"/>
      <c r="G48" s="30"/>
    </row>
    <row r="49" spans="1:7" ht="12" customHeight="1" outlineLevel="1" x14ac:dyDescent="0.2">
      <c r="A49" s="60" t="s">
        <v>14</v>
      </c>
      <c r="B49" s="96"/>
      <c r="C49" s="82"/>
      <c r="D49" s="82" t="s">
        <v>200</v>
      </c>
      <c r="E49" s="30" t="s">
        <v>98</v>
      </c>
      <c r="F49" s="137"/>
      <c r="G49" s="30"/>
    </row>
    <row r="50" spans="1:7" ht="12" customHeight="1" outlineLevel="1" x14ac:dyDescent="0.2">
      <c r="A50" s="60" t="s">
        <v>14</v>
      </c>
      <c r="B50" s="96"/>
      <c r="C50" s="82"/>
      <c r="D50" s="82" t="s">
        <v>202</v>
      </c>
      <c r="E50" s="30" t="s">
        <v>91</v>
      </c>
      <c r="F50" s="137"/>
      <c r="G50" s="30"/>
    </row>
    <row r="51" spans="1:7" ht="12" customHeight="1" outlineLevel="1" x14ac:dyDescent="0.2">
      <c r="A51" s="60" t="s">
        <v>14</v>
      </c>
      <c r="B51" s="96"/>
      <c r="C51" s="93" t="s">
        <v>201</v>
      </c>
      <c r="D51" s="93"/>
      <c r="E51" s="92"/>
      <c r="F51" s="138"/>
      <c r="G51" s="140"/>
    </row>
    <row r="52" spans="1:7" ht="12" customHeight="1" outlineLevel="1" x14ac:dyDescent="0.2">
      <c r="A52" s="60" t="s">
        <v>14</v>
      </c>
      <c r="B52" s="96"/>
      <c r="C52" s="82"/>
      <c r="D52" s="82" t="s">
        <v>160</v>
      </c>
      <c r="E52" s="30" t="s">
        <v>93</v>
      </c>
      <c r="F52" s="137"/>
      <c r="G52" s="30"/>
    </row>
    <row r="53" spans="1:7" ht="12" customHeight="1" outlineLevel="1" x14ac:dyDescent="0.2">
      <c r="A53" s="60" t="s">
        <v>10</v>
      </c>
      <c r="B53" s="96"/>
      <c r="C53" s="82"/>
      <c r="D53" s="82" t="s">
        <v>196</v>
      </c>
      <c r="E53" s="30" t="s">
        <v>98</v>
      </c>
      <c r="F53" s="137"/>
      <c r="G53" s="30"/>
    </row>
    <row r="54" spans="1:7" ht="12" customHeight="1" outlineLevel="1" x14ac:dyDescent="0.2">
      <c r="A54" s="60" t="s">
        <v>14</v>
      </c>
      <c r="B54" s="96"/>
      <c r="C54" s="82"/>
      <c r="D54" s="82" t="s">
        <v>197</v>
      </c>
      <c r="E54" s="30" t="s">
        <v>98</v>
      </c>
      <c r="F54" s="137"/>
      <c r="G54" s="30"/>
    </row>
    <row r="55" spans="1:7" ht="12" customHeight="1" outlineLevel="1" x14ac:dyDescent="0.2">
      <c r="A55" s="60" t="s">
        <v>12</v>
      </c>
      <c r="B55" s="96"/>
      <c r="C55" s="82"/>
      <c r="D55" s="82" t="s">
        <v>198</v>
      </c>
      <c r="E55" s="30" t="s">
        <v>98</v>
      </c>
      <c r="F55" s="137"/>
      <c r="G55" s="30"/>
    </row>
    <row r="56" spans="1:7" ht="12" customHeight="1" outlineLevel="1" x14ac:dyDescent="0.2">
      <c r="A56" s="60" t="s">
        <v>14</v>
      </c>
      <c r="B56" s="96"/>
      <c r="C56" s="82"/>
      <c r="D56" s="82" t="s">
        <v>199</v>
      </c>
      <c r="E56" s="30" t="s">
        <v>93</v>
      </c>
      <c r="F56" s="137"/>
      <c r="G56" s="30"/>
    </row>
    <row r="57" spans="1:7" ht="12" customHeight="1" outlineLevel="1" x14ac:dyDescent="0.2">
      <c r="A57" s="60" t="s">
        <v>14</v>
      </c>
      <c r="B57" s="96"/>
      <c r="C57" s="82"/>
      <c r="D57" s="82" t="s">
        <v>200</v>
      </c>
      <c r="E57" s="30" t="s">
        <v>98</v>
      </c>
      <c r="F57" s="137"/>
      <c r="G57" s="30"/>
    </row>
    <row r="58" spans="1:7" ht="12" customHeight="1" outlineLevel="1" x14ac:dyDescent="0.2">
      <c r="A58" s="60" t="s">
        <v>14</v>
      </c>
      <c r="B58" s="96"/>
      <c r="C58" s="82"/>
      <c r="D58" s="82" t="s">
        <v>202</v>
      </c>
      <c r="E58" s="30" t="s">
        <v>98</v>
      </c>
      <c r="F58" s="137"/>
      <c r="G58" s="30"/>
    </row>
    <row r="59" spans="1:7" ht="12" customHeight="1" outlineLevel="1" x14ac:dyDescent="0.2">
      <c r="A59" s="60" t="s">
        <v>14</v>
      </c>
      <c r="B59" s="96"/>
      <c r="C59" s="93" t="s">
        <v>203</v>
      </c>
      <c r="D59" s="93"/>
      <c r="E59" s="92"/>
      <c r="F59" s="138"/>
      <c r="G59" s="140"/>
    </row>
    <row r="60" spans="1:7" ht="12" customHeight="1" outlineLevel="1" x14ac:dyDescent="0.2">
      <c r="A60" s="60" t="s">
        <v>14</v>
      </c>
      <c r="B60" s="96"/>
      <c r="C60" s="82"/>
      <c r="D60" s="82" t="s">
        <v>160</v>
      </c>
      <c r="E60" s="30" t="s">
        <v>93</v>
      </c>
      <c r="F60" s="137"/>
      <c r="G60" s="30"/>
    </row>
    <row r="61" spans="1:7" ht="12" customHeight="1" outlineLevel="1" x14ac:dyDescent="0.2">
      <c r="A61" s="60" t="s">
        <v>10</v>
      </c>
      <c r="B61" s="96"/>
      <c r="C61" s="82"/>
      <c r="D61" s="82" t="s">
        <v>196</v>
      </c>
      <c r="E61" s="30" t="s">
        <v>98</v>
      </c>
      <c r="F61" s="137"/>
      <c r="G61" s="30"/>
    </row>
    <row r="62" spans="1:7" ht="12" customHeight="1" outlineLevel="1" x14ac:dyDescent="0.2">
      <c r="A62" s="60" t="s">
        <v>14</v>
      </c>
      <c r="B62" s="96"/>
      <c r="C62" s="82"/>
      <c r="D62" s="82" t="s">
        <v>197</v>
      </c>
      <c r="E62" s="30" t="s">
        <v>98</v>
      </c>
      <c r="F62" s="137"/>
      <c r="G62" s="30"/>
    </row>
    <row r="63" spans="1:7" ht="12" customHeight="1" outlineLevel="1" x14ac:dyDescent="0.2">
      <c r="A63" s="60" t="s">
        <v>14</v>
      </c>
      <c r="B63" s="96"/>
      <c r="C63" s="82"/>
      <c r="D63" s="82" t="s">
        <v>198</v>
      </c>
      <c r="E63" s="30" t="s">
        <v>98</v>
      </c>
      <c r="F63" s="137"/>
      <c r="G63" s="30"/>
    </row>
    <row r="64" spans="1:7" ht="12" customHeight="1" outlineLevel="1" x14ac:dyDescent="0.2">
      <c r="A64" s="60" t="s">
        <v>14</v>
      </c>
      <c r="B64" s="96"/>
      <c r="C64" s="82"/>
      <c r="D64" s="82" t="s">
        <v>199</v>
      </c>
      <c r="E64" s="30" t="s">
        <v>93</v>
      </c>
      <c r="F64" s="137"/>
      <c r="G64" s="30"/>
    </row>
    <row r="65" spans="1:7" ht="12" customHeight="1" outlineLevel="1" x14ac:dyDescent="0.2">
      <c r="A65" s="60" t="s">
        <v>14</v>
      </c>
      <c r="B65" s="96"/>
      <c r="C65" s="82"/>
      <c r="D65" s="82" t="s">
        <v>200</v>
      </c>
      <c r="E65" s="30" t="s">
        <v>98</v>
      </c>
      <c r="F65" s="137"/>
      <c r="G65" s="30"/>
    </row>
    <row r="66" spans="1:7" ht="12" customHeight="1" outlineLevel="1" x14ac:dyDescent="0.2">
      <c r="A66" s="60" t="s">
        <v>14</v>
      </c>
      <c r="B66" s="96"/>
      <c r="C66" s="82"/>
      <c r="D66" s="82" t="s">
        <v>202</v>
      </c>
      <c r="E66" s="30" t="s">
        <v>98</v>
      </c>
      <c r="F66" s="137"/>
      <c r="G66" s="30"/>
    </row>
    <row r="67" spans="1:7" ht="12" customHeight="1" outlineLevel="1" x14ac:dyDescent="0.2">
      <c r="A67" s="60" t="s">
        <v>14</v>
      </c>
      <c r="B67" s="96"/>
      <c r="C67" s="93" t="s">
        <v>204</v>
      </c>
      <c r="D67" s="93"/>
      <c r="E67" s="92"/>
      <c r="F67" s="138"/>
      <c r="G67" s="140"/>
    </row>
    <row r="68" spans="1:7" ht="12" customHeight="1" outlineLevel="1" x14ac:dyDescent="0.2">
      <c r="A68" s="60" t="s">
        <v>14</v>
      </c>
      <c r="B68" s="96"/>
      <c r="C68" s="82"/>
      <c r="D68" s="82" t="s">
        <v>160</v>
      </c>
      <c r="E68" s="30" t="s">
        <v>107</v>
      </c>
      <c r="F68" s="137"/>
      <c r="G68" s="30"/>
    </row>
    <row r="69" spans="1:7" ht="12" customHeight="1" outlineLevel="1" x14ac:dyDescent="0.2">
      <c r="A69" s="60" t="s">
        <v>10</v>
      </c>
      <c r="B69" s="96"/>
      <c r="C69" s="82"/>
      <c r="D69" s="82" t="s">
        <v>196</v>
      </c>
      <c r="E69" s="30" t="s">
        <v>107</v>
      </c>
      <c r="F69" s="137"/>
      <c r="G69" s="30"/>
    </row>
    <row r="70" spans="1:7" ht="12" customHeight="1" outlineLevel="1" x14ac:dyDescent="0.2">
      <c r="A70" s="60" t="s">
        <v>14</v>
      </c>
      <c r="B70" s="96"/>
      <c r="C70" s="82"/>
      <c r="D70" s="82" t="s">
        <v>197</v>
      </c>
      <c r="E70" s="30" t="s">
        <v>107</v>
      </c>
      <c r="F70" s="137"/>
      <c r="G70" s="30"/>
    </row>
    <row r="71" spans="1:7" ht="12" customHeight="1" outlineLevel="1" x14ac:dyDescent="0.2">
      <c r="A71" s="60" t="s">
        <v>14</v>
      </c>
      <c r="B71" s="96"/>
      <c r="C71" s="82"/>
      <c r="D71" s="82" t="s">
        <v>198</v>
      </c>
      <c r="E71" s="30" t="s">
        <v>107</v>
      </c>
      <c r="F71" s="137"/>
      <c r="G71" s="30"/>
    </row>
    <row r="72" spans="1:7" ht="12" customHeight="1" outlineLevel="1" x14ac:dyDescent="0.2">
      <c r="A72" s="60" t="s">
        <v>14</v>
      </c>
      <c r="B72" s="96"/>
      <c r="C72" s="82"/>
      <c r="D72" s="82" t="s">
        <v>199</v>
      </c>
      <c r="E72" s="30" t="s">
        <v>107</v>
      </c>
      <c r="F72" s="137"/>
      <c r="G72" s="30"/>
    </row>
    <row r="73" spans="1:7" ht="12" customHeight="1" outlineLevel="1" x14ac:dyDescent="0.2">
      <c r="A73" s="60" t="s">
        <v>14</v>
      </c>
      <c r="B73" s="96"/>
      <c r="C73" s="82"/>
      <c r="D73" s="82" t="s">
        <v>200</v>
      </c>
      <c r="E73" s="30" t="s">
        <v>107</v>
      </c>
      <c r="F73" s="137"/>
      <c r="G73" s="30"/>
    </row>
    <row r="74" spans="1:7" ht="12" customHeight="1" outlineLevel="1" x14ac:dyDescent="0.2">
      <c r="A74" s="60" t="s">
        <v>14</v>
      </c>
      <c r="B74" s="96"/>
      <c r="C74" s="82"/>
      <c r="D74" s="82" t="s">
        <v>202</v>
      </c>
      <c r="E74" s="30" t="s">
        <v>107</v>
      </c>
      <c r="F74" s="137"/>
      <c r="G74" s="30"/>
    </row>
    <row r="75" spans="1:7" ht="12" customHeight="1" outlineLevel="1" x14ac:dyDescent="0.2">
      <c r="A75" s="92"/>
      <c r="B75" s="93" t="s">
        <v>207</v>
      </c>
      <c r="C75" s="92"/>
      <c r="D75" s="92"/>
      <c r="E75" s="92"/>
      <c r="F75" s="139"/>
      <c r="G75" s="140"/>
    </row>
    <row r="76" spans="1:7" ht="12" customHeight="1" outlineLevel="1" x14ac:dyDescent="0.2">
      <c r="A76" s="60" t="s">
        <v>14</v>
      </c>
      <c r="B76" s="96"/>
      <c r="C76" s="93" t="s">
        <v>206</v>
      </c>
      <c r="D76" s="93"/>
      <c r="E76" s="92"/>
      <c r="F76" s="138"/>
      <c r="G76" s="140"/>
    </row>
    <row r="77" spans="1:7" ht="12" customHeight="1" outlineLevel="1" x14ac:dyDescent="0.2">
      <c r="A77" s="60" t="s">
        <v>14</v>
      </c>
      <c r="B77" s="96"/>
      <c r="C77" s="82"/>
      <c r="D77" s="82" t="s">
        <v>160</v>
      </c>
      <c r="E77" s="30" t="s">
        <v>91</v>
      </c>
      <c r="F77" s="137"/>
      <c r="G77" s="30"/>
    </row>
    <row r="78" spans="1:7" ht="12" customHeight="1" outlineLevel="1" x14ac:dyDescent="0.2">
      <c r="A78" s="60" t="s">
        <v>14</v>
      </c>
      <c r="B78" s="96"/>
      <c r="C78" s="93" t="s">
        <v>208</v>
      </c>
      <c r="D78" s="93"/>
      <c r="E78" s="92"/>
      <c r="F78" s="138"/>
      <c r="G78" s="140"/>
    </row>
    <row r="79" spans="1:7" ht="12" customHeight="1" outlineLevel="1" x14ac:dyDescent="0.2">
      <c r="A79" s="60" t="s">
        <v>14</v>
      </c>
      <c r="B79" s="96"/>
      <c r="C79" s="82"/>
      <c r="D79" s="82" t="s">
        <v>160</v>
      </c>
      <c r="E79" s="30" t="s">
        <v>93</v>
      </c>
      <c r="F79" s="137"/>
      <c r="G79" s="30"/>
    </row>
    <row r="80" spans="1:7" ht="12" customHeight="1" outlineLevel="1" x14ac:dyDescent="0.2">
      <c r="A80" s="60" t="s">
        <v>10</v>
      </c>
      <c r="B80" s="96"/>
      <c r="C80" s="82"/>
      <c r="D80" s="82" t="s">
        <v>209</v>
      </c>
      <c r="E80" s="30" t="s">
        <v>89</v>
      </c>
      <c r="F80" s="137"/>
      <c r="G80" s="30"/>
    </row>
    <row r="81" spans="1:7" ht="12" customHeight="1" outlineLevel="1" x14ac:dyDescent="0.2">
      <c r="A81" s="60" t="s">
        <v>14</v>
      </c>
      <c r="B81" s="96"/>
      <c r="C81" s="93" t="s">
        <v>210</v>
      </c>
      <c r="D81" s="93"/>
      <c r="E81" s="92"/>
      <c r="F81" s="138"/>
      <c r="G81" s="140"/>
    </row>
    <row r="82" spans="1:7" ht="12" customHeight="1" outlineLevel="1" x14ac:dyDescent="0.2">
      <c r="A82" s="60" t="s">
        <v>14</v>
      </c>
      <c r="B82" s="96"/>
      <c r="C82" s="82"/>
      <c r="D82" s="82" t="s">
        <v>160</v>
      </c>
      <c r="E82" s="30" t="s">
        <v>93</v>
      </c>
      <c r="F82" s="137"/>
      <c r="G82" s="30"/>
    </row>
    <row r="83" spans="1:7" ht="12" customHeight="1" outlineLevel="1" x14ac:dyDescent="0.2">
      <c r="A83" s="60" t="s">
        <v>14</v>
      </c>
      <c r="B83" s="96"/>
      <c r="C83" s="93" t="s">
        <v>211</v>
      </c>
      <c r="D83" s="93"/>
      <c r="E83" s="92"/>
      <c r="F83" s="138"/>
      <c r="G83" s="140"/>
    </row>
    <row r="84" spans="1:7" ht="12" customHeight="1" outlineLevel="1" x14ac:dyDescent="0.2">
      <c r="A84" s="60" t="s">
        <v>14</v>
      </c>
      <c r="B84" s="96"/>
      <c r="C84" s="82"/>
      <c r="D84" s="82" t="s">
        <v>160</v>
      </c>
      <c r="E84" s="30" t="s">
        <v>93</v>
      </c>
      <c r="F84" s="137"/>
      <c r="G84" s="30"/>
    </row>
    <row r="85" spans="1:7" ht="12" customHeight="1" outlineLevel="1" x14ac:dyDescent="0.2">
      <c r="A85" s="60" t="s">
        <v>14</v>
      </c>
      <c r="B85" s="96"/>
      <c r="C85" s="82"/>
      <c r="D85" s="82" t="s">
        <v>212</v>
      </c>
      <c r="E85" s="30" t="s">
        <v>89</v>
      </c>
      <c r="F85" s="137"/>
      <c r="G85" s="30"/>
    </row>
    <row r="86" spans="1:7" ht="12" customHeight="1" outlineLevel="1" x14ac:dyDescent="0.2">
      <c r="A86" s="60" t="s">
        <v>14</v>
      </c>
      <c r="B86" s="96"/>
      <c r="C86" s="82"/>
      <c r="D86" s="82" t="s">
        <v>213</v>
      </c>
      <c r="E86" s="30" t="s">
        <v>89</v>
      </c>
      <c r="F86" s="137"/>
      <c r="G86" s="30"/>
    </row>
    <row r="87" spans="1:7" ht="12" customHeight="1" outlineLevel="1" x14ac:dyDescent="0.2">
      <c r="A87" s="60" t="s">
        <v>14</v>
      </c>
      <c r="B87" s="96"/>
      <c r="C87" s="82"/>
      <c r="D87" s="82" t="s">
        <v>214</v>
      </c>
      <c r="E87" s="30" t="s">
        <v>89</v>
      </c>
      <c r="F87" s="137"/>
      <c r="G87" s="30"/>
    </row>
    <row r="88" spans="1:7" ht="12" customHeight="1" outlineLevel="1" x14ac:dyDescent="0.2">
      <c r="A88" s="60" t="s">
        <v>14</v>
      </c>
      <c r="B88" s="96"/>
      <c r="C88" s="82"/>
      <c r="D88" s="82" t="s">
        <v>215</v>
      </c>
      <c r="E88" s="30" t="s">
        <v>89</v>
      </c>
      <c r="F88" s="137"/>
      <c r="G88" s="30"/>
    </row>
    <row r="89" spans="1:7" ht="12" customHeight="1" outlineLevel="1" x14ac:dyDescent="0.2">
      <c r="A89" s="60" t="s">
        <v>14</v>
      </c>
      <c r="B89" s="96"/>
      <c r="C89" s="82"/>
      <c r="D89" s="82" t="s">
        <v>216</v>
      </c>
      <c r="E89" s="30" t="s">
        <v>89</v>
      </c>
      <c r="F89" s="137"/>
      <c r="G89" s="30"/>
    </row>
    <row r="90" spans="1:7" ht="12" customHeight="1" outlineLevel="1" x14ac:dyDescent="0.2">
      <c r="A90" s="60" t="s">
        <v>14</v>
      </c>
      <c r="B90" s="96"/>
      <c r="C90" s="82"/>
      <c r="D90" s="82" t="s">
        <v>217</v>
      </c>
      <c r="E90" s="30" t="s">
        <v>87</v>
      </c>
      <c r="F90" s="137"/>
      <c r="G90" s="30"/>
    </row>
    <row r="91" spans="1:7" ht="12" customHeight="1" outlineLevel="1" x14ac:dyDescent="0.2">
      <c r="A91" s="92"/>
      <c r="B91" s="93" t="s">
        <v>220</v>
      </c>
      <c r="C91" s="92"/>
      <c r="D91" s="92"/>
      <c r="E91" s="92"/>
      <c r="F91" s="139"/>
      <c r="G91" s="140"/>
    </row>
    <row r="92" spans="1:7" ht="12" customHeight="1" outlineLevel="1" x14ac:dyDescent="0.2">
      <c r="A92" s="60" t="s">
        <v>14</v>
      </c>
      <c r="B92" s="96"/>
      <c r="C92" s="93" t="s">
        <v>219</v>
      </c>
      <c r="D92" s="93"/>
      <c r="E92" s="92"/>
      <c r="F92" s="138"/>
      <c r="G92" s="140"/>
    </row>
    <row r="93" spans="1:7" ht="12" customHeight="1" outlineLevel="1" x14ac:dyDescent="0.2">
      <c r="A93" s="60" t="s">
        <v>14</v>
      </c>
      <c r="B93" s="96"/>
      <c r="C93" s="82"/>
      <c r="D93" s="82" t="s">
        <v>160</v>
      </c>
      <c r="E93" s="30" t="s">
        <v>98</v>
      </c>
      <c r="F93" s="137"/>
      <c r="G93" s="30"/>
    </row>
    <row r="94" spans="1:7" ht="12" customHeight="1" outlineLevel="1" x14ac:dyDescent="0.2">
      <c r="A94" s="60" t="s">
        <v>14</v>
      </c>
      <c r="B94" s="96"/>
      <c r="C94" s="82"/>
      <c r="D94" s="82" t="s">
        <v>221</v>
      </c>
      <c r="E94" s="30" t="s">
        <v>98</v>
      </c>
      <c r="F94" s="137"/>
      <c r="G94" s="30"/>
    </row>
    <row r="95" spans="1:7" ht="12" customHeight="1" outlineLevel="1" x14ac:dyDescent="0.2">
      <c r="A95" s="60" t="s">
        <v>14</v>
      </c>
      <c r="B95" s="96"/>
      <c r="C95" s="93" t="s">
        <v>222</v>
      </c>
      <c r="D95" s="93"/>
      <c r="E95" s="92"/>
      <c r="F95" s="138"/>
      <c r="G95" s="140"/>
    </row>
    <row r="96" spans="1:7" ht="12" customHeight="1" outlineLevel="1" x14ac:dyDescent="0.2">
      <c r="A96" s="60" t="s">
        <v>14</v>
      </c>
      <c r="B96" s="96"/>
      <c r="C96" s="82"/>
      <c r="D96" s="82" t="s">
        <v>160</v>
      </c>
      <c r="E96" s="30" t="s">
        <v>93</v>
      </c>
      <c r="F96" s="137"/>
      <c r="G96" s="30"/>
    </row>
    <row r="97" spans="1:7" ht="12" customHeight="1" outlineLevel="1" x14ac:dyDescent="0.2">
      <c r="A97" s="60" t="s">
        <v>14</v>
      </c>
      <c r="B97" s="96"/>
      <c r="C97" s="82"/>
      <c r="D97" s="82" t="s">
        <v>223</v>
      </c>
      <c r="E97" s="30" t="s">
        <v>89</v>
      </c>
      <c r="F97" s="137"/>
      <c r="G97" s="30"/>
    </row>
    <row r="98" spans="1:7" ht="12" customHeight="1" outlineLevel="1" x14ac:dyDescent="0.2">
      <c r="A98" s="60" t="s">
        <v>14</v>
      </c>
      <c r="B98" s="96"/>
      <c r="C98" s="82"/>
      <c r="D98" s="82" t="s">
        <v>224</v>
      </c>
      <c r="E98" s="30" t="s">
        <v>98</v>
      </c>
      <c r="F98" s="137"/>
      <c r="G98" s="30"/>
    </row>
    <row r="99" spans="1:7" ht="12" customHeight="1" outlineLevel="1" x14ac:dyDescent="0.2">
      <c r="A99" s="60" t="s">
        <v>14</v>
      </c>
      <c r="B99" s="96"/>
      <c r="C99" s="93" t="s">
        <v>225</v>
      </c>
      <c r="D99" s="93"/>
      <c r="E99" s="92"/>
      <c r="F99" s="138"/>
      <c r="G99" s="140"/>
    </row>
    <row r="100" spans="1:7" ht="12" customHeight="1" outlineLevel="1" x14ac:dyDescent="0.2">
      <c r="A100" s="60" t="s">
        <v>14</v>
      </c>
      <c r="B100" s="96"/>
      <c r="C100" s="82"/>
      <c r="D100" s="82" t="s">
        <v>160</v>
      </c>
      <c r="E100" s="30" t="s">
        <v>93</v>
      </c>
      <c r="F100" s="141"/>
      <c r="G100" s="30"/>
    </row>
    <row r="101" spans="1:7" ht="12" customHeight="1" outlineLevel="1" x14ac:dyDescent="0.2">
      <c r="A101" s="60" t="s">
        <v>14</v>
      </c>
      <c r="B101" s="96"/>
      <c r="C101" s="82"/>
      <c r="D101" s="82" t="s">
        <v>226</v>
      </c>
      <c r="E101" s="30" t="s">
        <v>89</v>
      </c>
      <c r="F101" s="141"/>
      <c r="G101" s="30"/>
    </row>
    <row r="102" spans="1:7" ht="12" customHeight="1" outlineLevel="1" x14ac:dyDescent="0.2">
      <c r="A102" s="60" t="s">
        <v>14</v>
      </c>
      <c r="B102" s="96"/>
      <c r="C102" s="82"/>
      <c r="D102" s="82" t="s">
        <v>214</v>
      </c>
      <c r="E102" s="30" t="s">
        <v>89</v>
      </c>
      <c r="F102" s="141"/>
      <c r="G102" s="30"/>
    </row>
    <row r="103" spans="1:7" ht="12" customHeight="1" outlineLevel="1" x14ac:dyDescent="0.2">
      <c r="A103" s="60" t="s">
        <v>14</v>
      </c>
      <c r="B103" s="96"/>
      <c r="C103" s="82"/>
      <c r="D103" s="82" t="s">
        <v>234</v>
      </c>
      <c r="E103" s="30" t="s">
        <v>91</v>
      </c>
      <c r="F103" s="141"/>
      <c r="G103" s="30"/>
    </row>
    <row r="104" spans="1:7" ht="12" customHeight="1" outlineLevel="1" x14ac:dyDescent="0.2">
      <c r="A104" s="60" t="s">
        <v>14</v>
      </c>
      <c r="B104" s="96"/>
      <c r="C104" s="82"/>
      <c r="D104" s="82" t="s">
        <v>212</v>
      </c>
      <c r="E104" s="30" t="s">
        <v>89</v>
      </c>
      <c r="F104" s="141"/>
      <c r="G104" s="30"/>
    </row>
    <row r="105" spans="1:7" ht="12" customHeight="1" outlineLevel="1" x14ac:dyDescent="0.2">
      <c r="A105" s="60" t="s">
        <v>14</v>
      </c>
      <c r="B105" s="96"/>
      <c r="C105" s="82"/>
      <c r="D105" s="82" t="s">
        <v>213</v>
      </c>
      <c r="E105" s="30" t="s">
        <v>89</v>
      </c>
      <c r="F105" s="141"/>
      <c r="G105" s="30"/>
    </row>
    <row r="106" spans="1:7" ht="12" customHeight="1" outlineLevel="1" x14ac:dyDescent="0.2">
      <c r="A106" s="60" t="s">
        <v>14</v>
      </c>
      <c r="B106" s="96"/>
      <c r="C106" s="82"/>
      <c r="D106" s="82" t="s">
        <v>227</v>
      </c>
      <c r="E106" s="30" t="s">
        <v>89</v>
      </c>
      <c r="F106" s="141"/>
      <c r="G106" s="30"/>
    </row>
    <row r="107" spans="1:7" ht="12" customHeight="1" outlineLevel="1" x14ac:dyDescent="0.2">
      <c r="A107" s="60" t="s">
        <v>14</v>
      </c>
      <c r="B107" s="96"/>
      <c r="C107" s="82"/>
      <c r="D107" s="82" t="s">
        <v>228</v>
      </c>
      <c r="E107" s="30" t="s">
        <v>89</v>
      </c>
      <c r="F107" s="141"/>
      <c r="G107" s="30"/>
    </row>
    <row r="108" spans="1:7" ht="12" customHeight="1" outlineLevel="1" x14ac:dyDescent="0.2">
      <c r="A108" s="60" t="s">
        <v>14</v>
      </c>
      <c r="B108" s="96"/>
      <c r="C108" s="82"/>
      <c r="D108" s="82" t="s">
        <v>229</v>
      </c>
      <c r="E108" s="30" t="s">
        <v>89</v>
      </c>
      <c r="F108" s="141"/>
      <c r="G108" s="30"/>
    </row>
    <row r="109" spans="1:7" ht="12" customHeight="1" outlineLevel="1" x14ac:dyDescent="0.2">
      <c r="A109" s="60" t="s">
        <v>14</v>
      </c>
      <c r="B109" s="96"/>
      <c r="C109" s="82"/>
      <c r="D109" s="82" t="s">
        <v>230</v>
      </c>
      <c r="E109" s="30" t="s">
        <v>89</v>
      </c>
      <c r="F109" s="141"/>
      <c r="G109" s="30"/>
    </row>
    <row r="110" spans="1:7" ht="12" customHeight="1" outlineLevel="1" x14ac:dyDescent="0.2">
      <c r="A110" s="60" t="s">
        <v>14</v>
      </c>
      <c r="B110" s="96"/>
      <c r="C110" s="82"/>
      <c r="D110" s="82" t="s">
        <v>231</v>
      </c>
      <c r="E110" s="30" t="s">
        <v>89</v>
      </c>
      <c r="F110" s="141"/>
      <c r="G110" s="30"/>
    </row>
    <row r="111" spans="1:7" ht="12" customHeight="1" outlineLevel="1" x14ac:dyDescent="0.2">
      <c r="A111" s="60" t="s">
        <v>14</v>
      </c>
      <c r="B111" s="96"/>
      <c r="C111" s="82"/>
      <c r="D111" s="82" t="s">
        <v>232</v>
      </c>
      <c r="E111" s="30" t="s">
        <v>89</v>
      </c>
      <c r="F111" s="141"/>
      <c r="G111" s="30"/>
    </row>
    <row r="112" spans="1:7" ht="12" customHeight="1" outlineLevel="1" x14ac:dyDescent="0.2">
      <c r="A112" s="60" t="s">
        <v>14</v>
      </c>
      <c r="B112" s="96"/>
      <c r="C112" s="82"/>
      <c r="D112" s="82" t="s">
        <v>233</v>
      </c>
      <c r="E112" s="30" t="s">
        <v>89</v>
      </c>
      <c r="F112" s="141"/>
      <c r="G112" s="30"/>
    </row>
    <row r="113" spans="1:7" ht="12" customHeight="1" outlineLevel="1" x14ac:dyDescent="0.2">
      <c r="A113" s="60" t="s">
        <v>14</v>
      </c>
      <c r="B113" s="96"/>
      <c r="C113" s="82"/>
      <c r="D113" s="82" t="s">
        <v>235</v>
      </c>
      <c r="E113" s="30" t="s">
        <v>89</v>
      </c>
      <c r="F113" s="141"/>
      <c r="G113" s="30"/>
    </row>
    <row r="114" spans="1:7" ht="12" customHeight="1" outlineLevel="1" x14ac:dyDescent="0.2">
      <c r="A114" s="60" t="s">
        <v>14</v>
      </c>
      <c r="B114" s="96"/>
      <c r="C114" s="82"/>
      <c r="D114" s="82" t="s">
        <v>236</v>
      </c>
      <c r="E114" s="30" t="s">
        <v>89</v>
      </c>
      <c r="F114" s="141"/>
      <c r="G114" s="30"/>
    </row>
    <row r="115" spans="1:7" ht="12" customHeight="1" outlineLevel="1" x14ac:dyDescent="0.2">
      <c r="A115" s="60" t="s">
        <v>14</v>
      </c>
      <c r="B115" s="96"/>
      <c r="C115" s="82"/>
      <c r="D115" s="82" t="s">
        <v>224</v>
      </c>
      <c r="E115" s="30" t="s">
        <v>98</v>
      </c>
      <c r="F115" s="141"/>
      <c r="G115" s="30"/>
    </row>
    <row r="116" spans="1:7" ht="12" customHeight="1" outlineLevel="1" x14ac:dyDescent="0.2">
      <c r="A116" s="92"/>
      <c r="B116" s="93" t="s">
        <v>237</v>
      </c>
      <c r="C116" s="92"/>
      <c r="D116" s="92"/>
      <c r="E116" s="92"/>
      <c r="F116" s="140"/>
      <c r="G116" s="140"/>
    </row>
    <row r="117" spans="1:7" ht="12" customHeight="1" outlineLevel="1" x14ac:dyDescent="0.2">
      <c r="A117" s="60" t="s">
        <v>14</v>
      </c>
      <c r="B117" s="96"/>
      <c r="C117" s="93" t="s">
        <v>238</v>
      </c>
      <c r="D117" s="93"/>
      <c r="E117" s="92"/>
      <c r="F117" s="138"/>
      <c r="G117" s="140"/>
    </row>
    <row r="118" spans="1:7" ht="12" customHeight="1" outlineLevel="1" x14ac:dyDescent="0.2">
      <c r="A118" s="60" t="s">
        <v>14</v>
      </c>
      <c r="B118" s="96"/>
      <c r="C118" s="82"/>
      <c r="D118" s="82" t="s">
        <v>160</v>
      </c>
      <c r="E118" s="30" t="s">
        <v>107</v>
      </c>
      <c r="F118" s="137"/>
      <c r="G118" s="30"/>
    </row>
    <row r="119" spans="1:7" ht="12" customHeight="1" outlineLevel="1" x14ac:dyDescent="0.2">
      <c r="A119" s="60" t="s">
        <v>14</v>
      </c>
      <c r="B119" s="96"/>
      <c r="C119" s="82"/>
      <c r="D119" s="82" t="s">
        <v>239</v>
      </c>
      <c r="E119" s="30" t="s">
        <v>107</v>
      </c>
      <c r="F119" s="137"/>
      <c r="G119" s="30"/>
    </row>
    <row r="120" spans="1:7" ht="12" customHeight="1" outlineLevel="1" x14ac:dyDescent="0.2">
      <c r="A120" s="60" t="s">
        <v>14</v>
      </c>
      <c r="B120" s="96"/>
      <c r="C120" s="82"/>
      <c r="D120" s="82" t="s">
        <v>240</v>
      </c>
      <c r="E120" s="30" t="s">
        <v>107</v>
      </c>
      <c r="F120" s="137"/>
      <c r="G120" s="30"/>
    </row>
    <row r="121" spans="1:7" ht="12" customHeight="1" outlineLevel="1" x14ac:dyDescent="0.2">
      <c r="A121" s="60" t="s">
        <v>14</v>
      </c>
      <c r="B121" s="96"/>
      <c r="C121" s="82"/>
      <c r="D121" s="82" t="s">
        <v>241</v>
      </c>
      <c r="E121" s="30" t="s">
        <v>107</v>
      </c>
      <c r="F121" s="137"/>
      <c r="G121" s="30"/>
    </row>
    <row r="122" spans="1:7" ht="12" customHeight="1" outlineLevel="1" x14ac:dyDescent="0.2">
      <c r="A122" s="60" t="s">
        <v>14</v>
      </c>
      <c r="B122" s="96"/>
      <c r="C122" s="82"/>
      <c r="D122" s="82" t="s">
        <v>242</v>
      </c>
      <c r="E122" s="30" t="s">
        <v>107</v>
      </c>
      <c r="F122" s="137"/>
      <c r="G122" s="30"/>
    </row>
    <row r="123" spans="1:7" ht="12" customHeight="1" outlineLevel="1" x14ac:dyDescent="0.2">
      <c r="A123" s="60" t="s">
        <v>14</v>
      </c>
      <c r="B123" s="96"/>
      <c r="C123" s="82"/>
      <c r="D123" s="82" t="s">
        <v>243</v>
      </c>
      <c r="E123" s="30" t="s">
        <v>107</v>
      </c>
      <c r="F123" s="137"/>
      <c r="G123" s="30"/>
    </row>
    <row r="124" spans="1:7" ht="12" customHeight="1" outlineLevel="1" x14ac:dyDescent="0.2">
      <c r="A124" s="60" t="s">
        <v>14</v>
      </c>
      <c r="B124" s="96"/>
      <c r="C124" s="93" t="s">
        <v>245</v>
      </c>
      <c r="D124" s="93"/>
      <c r="E124" s="92"/>
      <c r="F124" s="138"/>
      <c r="G124" s="140"/>
    </row>
    <row r="125" spans="1:7" ht="12" customHeight="1" outlineLevel="1" x14ac:dyDescent="0.2">
      <c r="A125" s="60" t="s">
        <v>14</v>
      </c>
      <c r="B125" s="96"/>
      <c r="C125" s="82"/>
      <c r="D125" s="82" t="s">
        <v>244</v>
      </c>
      <c r="E125" s="30" t="s">
        <v>107</v>
      </c>
      <c r="F125" s="137"/>
      <c r="G125" s="30"/>
    </row>
    <row r="126" spans="1:7" ht="12" customHeight="1" x14ac:dyDescent="0.2">
      <c r="A126" s="92"/>
      <c r="B126" s="93" t="s">
        <v>247</v>
      </c>
      <c r="C126" s="92"/>
      <c r="D126" s="92"/>
      <c r="E126" s="92"/>
      <c r="F126" s="140"/>
      <c r="G126" s="140"/>
    </row>
    <row r="127" spans="1:7" ht="12" customHeight="1" x14ac:dyDescent="0.2">
      <c r="A127" s="60" t="s">
        <v>10</v>
      </c>
      <c r="B127" s="96"/>
      <c r="C127" s="93" t="s">
        <v>186</v>
      </c>
      <c r="D127" s="93"/>
      <c r="E127" s="92"/>
      <c r="F127" s="138"/>
      <c r="G127" s="140"/>
    </row>
    <row r="128" spans="1:7" ht="12" customHeight="1" x14ac:dyDescent="0.2">
      <c r="A128" s="60" t="s">
        <v>10</v>
      </c>
      <c r="B128" s="96"/>
      <c r="C128" s="82"/>
      <c r="D128" s="82" t="s">
        <v>246</v>
      </c>
      <c r="E128" s="30" t="s">
        <v>91</v>
      </c>
      <c r="F128" s="137"/>
      <c r="G128" s="30"/>
    </row>
    <row r="65589" ht="12.75" customHeight="1" x14ac:dyDescent="0.2"/>
    <row r="65590" ht="12.75" customHeight="1" x14ac:dyDescent="0.2"/>
    <row r="65591" ht="12.75" customHeight="1" x14ac:dyDescent="0.2"/>
    <row r="65592" ht="12.75" customHeight="1" x14ac:dyDescent="0.2"/>
  </sheetData>
  <sheetProtection selectLockedCells="1" selectUnlockedCells="1"/>
  <autoFilter ref="A21:A125" xr:uid="{00000000-0009-0000-0000-000002000000}"/>
  <mergeCells count="11">
    <mergeCell ref="E1:G1"/>
    <mergeCell ref="E2:G2"/>
    <mergeCell ref="E3:G3"/>
    <mergeCell ref="E4:G4"/>
    <mergeCell ref="B5:D5"/>
    <mergeCell ref="E5:G5"/>
    <mergeCell ref="B6:D6"/>
    <mergeCell ref="E6:G6"/>
    <mergeCell ref="B7:D7"/>
    <mergeCell ref="E7:G7"/>
    <mergeCell ref="E8:G8"/>
  </mergeCells>
  <conditionalFormatting sqref="E129:J135 E1:E9 E41 E44:E50 E57:E58 E52:E55 F84:F90 F96:F98 F118:F123 F125 H59:J128 F1:J22 E20:E22 H23:J27 E33:F34 E100:F115 E23:G23 E26:G28">
    <cfRule type="cellIs" dxfId="212" priority="229" stopIfTrue="1" operator="equal">
      <formula>"Minor"</formula>
    </cfRule>
    <cfRule type="cellIs" dxfId="211" priority="230" stopIfTrue="1" operator="equal">
      <formula>"Not implemented"</formula>
    </cfRule>
    <cfRule type="cellIs" dxfId="210" priority="231" stopIfTrue="1" operator="equal">
      <formula>"Not tested"</formula>
    </cfRule>
  </conditionalFormatting>
  <conditionalFormatting sqref="H28:J28">
    <cfRule type="cellIs" dxfId="209" priority="232" stopIfTrue="1" operator="equal">
      <formula>"Minor"</formula>
    </cfRule>
    <cfRule type="cellIs" dxfId="208" priority="233" stopIfTrue="1" operator="equal">
      <formula>"Not implemented"</formula>
    </cfRule>
    <cfRule type="cellIs" dxfId="207" priority="234" stopIfTrue="1" operator="equal">
      <formula>"Not tested"</formula>
    </cfRule>
  </conditionalFormatting>
  <conditionalFormatting sqref="E42:F42">
    <cfRule type="cellIs" dxfId="206" priority="220" stopIfTrue="1" operator="equal">
      <formula>"Minor"</formula>
    </cfRule>
    <cfRule type="cellIs" dxfId="205" priority="221" stopIfTrue="1" operator="equal">
      <formula>"Not implemented"</formula>
    </cfRule>
    <cfRule type="cellIs" dxfId="204" priority="222" stopIfTrue="1" operator="equal">
      <formula>"Not tested"</formula>
    </cfRule>
  </conditionalFormatting>
  <conditionalFormatting sqref="H29:J36 F32:F34">
    <cfRule type="cellIs" dxfId="203" priority="238" stopIfTrue="1" operator="equal">
      <formula>"Minor"</formula>
    </cfRule>
    <cfRule type="cellIs" dxfId="202" priority="239" stopIfTrue="1" operator="equal">
      <formula>"Not implemented"</formula>
    </cfRule>
    <cfRule type="cellIs" dxfId="201" priority="240" stopIfTrue="1" operator="equal">
      <formula>"Not tested"</formula>
    </cfRule>
  </conditionalFormatting>
  <conditionalFormatting sqref="F37:F38 H37:J58 F44:F50 F52:F58">
    <cfRule type="cellIs" dxfId="200" priority="241" stopIfTrue="1" operator="equal">
      <formula>"Minor"</formula>
    </cfRule>
    <cfRule type="cellIs" dxfId="199" priority="242" stopIfTrue="1" operator="equal">
      <formula>"Not implemented"</formula>
    </cfRule>
    <cfRule type="cellIs" dxfId="198" priority="243" stopIfTrue="1" operator="equal">
      <formula>"Not tested"</formula>
    </cfRule>
  </conditionalFormatting>
  <conditionalFormatting sqref="E99">
    <cfRule type="cellIs" dxfId="197" priority="139" stopIfTrue="1" operator="equal">
      <formula>"Minor"</formula>
    </cfRule>
    <cfRule type="cellIs" dxfId="196" priority="140" stopIfTrue="1" operator="equal">
      <formula>"Not implemented"</formula>
    </cfRule>
    <cfRule type="cellIs" dxfId="195" priority="141" stopIfTrue="1" operator="equal">
      <formula>"Not tested"</formula>
    </cfRule>
  </conditionalFormatting>
  <conditionalFormatting sqref="E37:E39 E30:E34">
    <cfRule type="cellIs" dxfId="194" priority="247" stopIfTrue="1" operator="equal">
      <formula>"Minor"</formula>
    </cfRule>
    <cfRule type="cellIs" dxfId="193" priority="248" stopIfTrue="1" operator="equal">
      <formula>"Not implemented"</formula>
    </cfRule>
    <cfRule type="cellIs" dxfId="192" priority="249" stopIfTrue="1" operator="equal">
      <formula>"Not tested"</formula>
    </cfRule>
  </conditionalFormatting>
  <conditionalFormatting sqref="A15:A18">
    <cfRule type="cellIs" dxfId="191" priority="250" stopIfTrue="1" operator="equal">
      <formula>"Not implemented"</formula>
    </cfRule>
    <cfRule type="cellIs" dxfId="190" priority="251" stopIfTrue="1" operator="equal">
      <formula>"Not tested"</formula>
    </cfRule>
    <cfRule type="cellIs" dxfId="189" priority="252" stopIfTrue="1" operator="equal">
      <formula>"Not available"</formula>
    </cfRule>
  </conditionalFormatting>
  <conditionalFormatting sqref="E36">
    <cfRule type="cellIs" dxfId="188" priority="223" stopIfTrue="1" operator="equal">
      <formula>"Minor"</formula>
    </cfRule>
    <cfRule type="cellIs" dxfId="187" priority="224" stopIfTrue="1" operator="equal">
      <formula>"Not implemented"</formula>
    </cfRule>
    <cfRule type="cellIs" dxfId="186" priority="225" stopIfTrue="1" operator="equal">
      <formula>"Not tested"</formula>
    </cfRule>
  </conditionalFormatting>
  <conditionalFormatting sqref="E35:F35">
    <cfRule type="cellIs" dxfId="185" priority="226" stopIfTrue="1" operator="equal">
      <formula>"Minor"</formula>
    </cfRule>
    <cfRule type="cellIs" dxfId="184" priority="227" stopIfTrue="1" operator="equal">
      <formula>"Not implemented"</formula>
    </cfRule>
    <cfRule type="cellIs" dxfId="183" priority="228" stopIfTrue="1" operator="equal">
      <formula>"Not tested"</formula>
    </cfRule>
  </conditionalFormatting>
  <conditionalFormatting sqref="E60:E66">
    <cfRule type="cellIs" dxfId="182" priority="208" stopIfTrue="1" operator="equal">
      <formula>"Minor"</formula>
    </cfRule>
    <cfRule type="cellIs" dxfId="181" priority="209" stopIfTrue="1" operator="equal">
      <formula>"Not implemented"</formula>
    </cfRule>
    <cfRule type="cellIs" dxfId="180" priority="210" stopIfTrue="1" operator="equal">
      <formula>"Not tested"</formula>
    </cfRule>
  </conditionalFormatting>
  <conditionalFormatting sqref="E56">
    <cfRule type="cellIs" dxfId="179" priority="214" stopIfTrue="1" operator="equal">
      <formula>"Minor"</formula>
    </cfRule>
    <cfRule type="cellIs" dxfId="178" priority="215" stopIfTrue="1" operator="equal">
      <formula>"Not implemented"</formula>
    </cfRule>
    <cfRule type="cellIs" dxfId="177" priority="216" stopIfTrue="1" operator="equal">
      <formula>"Not tested"</formula>
    </cfRule>
  </conditionalFormatting>
  <conditionalFormatting sqref="F60:F66">
    <cfRule type="cellIs" dxfId="176" priority="211" stopIfTrue="1" operator="equal">
      <formula>"Minor"</formula>
    </cfRule>
    <cfRule type="cellIs" dxfId="175" priority="212" stopIfTrue="1" operator="equal">
      <formula>"Not implemented"</formula>
    </cfRule>
    <cfRule type="cellIs" dxfId="174" priority="213" stopIfTrue="1" operator="equal">
      <formula>"Not tested"</formula>
    </cfRule>
  </conditionalFormatting>
  <conditionalFormatting sqref="E93:E94">
    <cfRule type="cellIs" dxfId="173" priority="127" stopIfTrue="1" operator="equal">
      <formula>"Minor"</formula>
    </cfRule>
    <cfRule type="cellIs" dxfId="172" priority="128" stopIfTrue="1" operator="equal">
      <formula>"Not implemented"</formula>
    </cfRule>
    <cfRule type="cellIs" dxfId="171" priority="129" stopIfTrue="1" operator="equal">
      <formula>"Not tested"</formula>
    </cfRule>
  </conditionalFormatting>
  <conditionalFormatting sqref="E59">
    <cfRule type="cellIs" dxfId="170" priority="178" stopIfTrue="1" operator="equal">
      <formula>"Minor"</formula>
    </cfRule>
    <cfRule type="cellIs" dxfId="169" priority="179" stopIfTrue="1" operator="equal">
      <formula>"Not implemented"</formula>
    </cfRule>
    <cfRule type="cellIs" dxfId="168" priority="180" stopIfTrue="1" operator="equal">
      <formula>"Not tested"</formula>
    </cfRule>
  </conditionalFormatting>
  <conditionalFormatting sqref="E76">
    <cfRule type="cellIs" dxfId="167" priority="172" stopIfTrue="1" operator="equal">
      <formula>"Minor"</formula>
    </cfRule>
    <cfRule type="cellIs" dxfId="166" priority="173" stopIfTrue="1" operator="equal">
      <formula>"Not implemented"</formula>
    </cfRule>
    <cfRule type="cellIs" dxfId="165" priority="174" stopIfTrue="1" operator="equal">
      <formula>"Not tested"</formula>
    </cfRule>
  </conditionalFormatting>
  <conditionalFormatting sqref="E77 E79:E80 E82 E68:E74">
    <cfRule type="cellIs" dxfId="164" priority="196" stopIfTrue="1" operator="equal">
      <formula>"Minor"</formula>
    </cfRule>
    <cfRule type="cellIs" dxfId="163" priority="197" stopIfTrue="1" operator="equal">
      <formula>"Not implemented"</formula>
    </cfRule>
    <cfRule type="cellIs" dxfId="162" priority="198" stopIfTrue="1" operator="equal">
      <formula>"Not tested"</formula>
    </cfRule>
  </conditionalFormatting>
  <conditionalFormatting sqref="F68:F71 F73:F74 F77 F79:F80 F82 F93:F94">
    <cfRule type="cellIs" dxfId="161" priority="199" stopIfTrue="1" operator="equal">
      <formula>"Minor"</formula>
    </cfRule>
    <cfRule type="cellIs" dxfId="160" priority="200" stopIfTrue="1" operator="equal">
      <formula>"Not implemented"</formula>
    </cfRule>
    <cfRule type="cellIs" dxfId="159" priority="201" stopIfTrue="1" operator="equal">
      <formula>"Not tested"</formula>
    </cfRule>
  </conditionalFormatting>
  <conditionalFormatting sqref="F72">
    <cfRule type="cellIs" dxfId="158" priority="193" stopIfTrue="1" operator="equal">
      <formula>"Minor"</formula>
    </cfRule>
    <cfRule type="cellIs" dxfId="157" priority="194" stopIfTrue="1" operator="equal">
      <formula>"Not implemented"</formula>
    </cfRule>
    <cfRule type="cellIs" dxfId="156" priority="195" stopIfTrue="1" operator="equal">
      <formula>"Not tested"</formula>
    </cfRule>
  </conditionalFormatting>
  <conditionalFormatting sqref="E43">
    <cfRule type="cellIs" dxfId="155" priority="184" stopIfTrue="1" operator="equal">
      <formula>"Minor"</formula>
    </cfRule>
    <cfRule type="cellIs" dxfId="154" priority="185" stopIfTrue="1" operator="equal">
      <formula>"Not implemented"</formula>
    </cfRule>
    <cfRule type="cellIs" dxfId="153" priority="186" stopIfTrue="1" operator="equal">
      <formula>"Not tested"</formula>
    </cfRule>
  </conditionalFormatting>
  <conditionalFormatting sqref="E51">
    <cfRule type="cellIs" dxfId="152" priority="181" stopIfTrue="1" operator="equal">
      <formula>"Minor"</formula>
    </cfRule>
    <cfRule type="cellIs" dxfId="151" priority="182" stopIfTrue="1" operator="equal">
      <formula>"Not implemented"</formula>
    </cfRule>
    <cfRule type="cellIs" dxfId="150" priority="183" stopIfTrue="1" operator="equal">
      <formula>"Not tested"</formula>
    </cfRule>
  </conditionalFormatting>
  <conditionalFormatting sqref="E67">
    <cfRule type="cellIs" dxfId="149" priority="175" stopIfTrue="1" operator="equal">
      <formula>"Minor"</formula>
    </cfRule>
    <cfRule type="cellIs" dxfId="148" priority="176" stopIfTrue="1" operator="equal">
      <formula>"Not implemented"</formula>
    </cfRule>
    <cfRule type="cellIs" dxfId="147" priority="177" stopIfTrue="1" operator="equal">
      <formula>"Not tested"</formula>
    </cfRule>
  </conditionalFormatting>
  <conditionalFormatting sqref="E75:F75">
    <cfRule type="cellIs" dxfId="146" priority="169" stopIfTrue="1" operator="equal">
      <formula>"Minor"</formula>
    </cfRule>
    <cfRule type="cellIs" dxfId="145" priority="170" stopIfTrue="1" operator="equal">
      <formula>"Not implemented"</formula>
    </cfRule>
    <cfRule type="cellIs" dxfId="144" priority="171" stopIfTrue="1" operator="equal">
      <formula>"Not tested"</formula>
    </cfRule>
  </conditionalFormatting>
  <conditionalFormatting sqref="E78">
    <cfRule type="cellIs" dxfId="143" priority="166" stopIfTrue="1" operator="equal">
      <formula>"Minor"</formula>
    </cfRule>
    <cfRule type="cellIs" dxfId="142" priority="167" stopIfTrue="1" operator="equal">
      <formula>"Not implemented"</formula>
    </cfRule>
    <cfRule type="cellIs" dxfId="141" priority="168" stopIfTrue="1" operator="equal">
      <formula>"Not tested"</formula>
    </cfRule>
  </conditionalFormatting>
  <conditionalFormatting sqref="E81">
    <cfRule type="cellIs" dxfId="140" priority="163" stopIfTrue="1" operator="equal">
      <formula>"Minor"</formula>
    </cfRule>
    <cfRule type="cellIs" dxfId="139" priority="164" stopIfTrue="1" operator="equal">
      <formula>"Not implemented"</formula>
    </cfRule>
    <cfRule type="cellIs" dxfId="138" priority="165" stopIfTrue="1" operator="equal">
      <formula>"Not tested"</formula>
    </cfRule>
  </conditionalFormatting>
  <conditionalFormatting sqref="E83">
    <cfRule type="cellIs" dxfId="137" priority="160" stopIfTrue="1" operator="equal">
      <formula>"Minor"</formula>
    </cfRule>
    <cfRule type="cellIs" dxfId="136" priority="161" stopIfTrue="1" operator="equal">
      <formula>"Not implemented"</formula>
    </cfRule>
    <cfRule type="cellIs" dxfId="135" priority="162" stopIfTrue="1" operator="equal">
      <formula>"Not tested"</formula>
    </cfRule>
  </conditionalFormatting>
  <conditionalFormatting sqref="E92">
    <cfRule type="cellIs" dxfId="134" priority="157" stopIfTrue="1" operator="equal">
      <formula>"Minor"</formula>
    </cfRule>
    <cfRule type="cellIs" dxfId="133" priority="158" stopIfTrue="1" operator="equal">
      <formula>"Not implemented"</formula>
    </cfRule>
    <cfRule type="cellIs" dxfId="132" priority="159" stopIfTrue="1" operator="equal">
      <formula>"Not tested"</formula>
    </cfRule>
  </conditionalFormatting>
  <conditionalFormatting sqref="E91:F91">
    <cfRule type="cellIs" dxfId="131" priority="154" stopIfTrue="1" operator="equal">
      <formula>"Minor"</formula>
    </cfRule>
    <cfRule type="cellIs" dxfId="130" priority="155" stopIfTrue="1" operator="equal">
      <formula>"Not implemented"</formula>
    </cfRule>
    <cfRule type="cellIs" dxfId="129" priority="156" stopIfTrue="1" operator="equal">
      <formula>"Not tested"</formula>
    </cfRule>
  </conditionalFormatting>
  <conditionalFormatting sqref="E84:E90">
    <cfRule type="cellIs" dxfId="128" priority="151" stopIfTrue="1" operator="equal">
      <formula>"Minor"</formula>
    </cfRule>
    <cfRule type="cellIs" dxfId="127" priority="152" stopIfTrue="1" operator="equal">
      <formula>"Not implemented"</formula>
    </cfRule>
    <cfRule type="cellIs" dxfId="126" priority="153" stopIfTrue="1" operator="equal">
      <formula>"Not tested"</formula>
    </cfRule>
  </conditionalFormatting>
  <conditionalFormatting sqref="E95">
    <cfRule type="cellIs" dxfId="125" priority="145" stopIfTrue="1" operator="equal">
      <formula>"Minor"</formula>
    </cfRule>
    <cfRule type="cellIs" dxfId="124" priority="146" stopIfTrue="1" operator="equal">
      <formula>"Not implemented"</formula>
    </cfRule>
    <cfRule type="cellIs" dxfId="123" priority="147" stopIfTrue="1" operator="equal">
      <formula>"Not tested"</formula>
    </cfRule>
  </conditionalFormatting>
  <conditionalFormatting sqref="E117">
    <cfRule type="cellIs" dxfId="122" priority="136" stopIfTrue="1" operator="equal">
      <formula>"Minor"</formula>
    </cfRule>
    <cfRule type="cellIs" dxfId="121" priority="137" stopIfTrue="1" operator="equal">
      <formula>"Not implemented"</formula>
    </cfRule>
    <cfRule type="cellIs" dxfId="120" priority="138" stopIfTrue="1" operator="equal">
      <formula>"Not tested"</formula>
    </cfRule>
  </conditionalFormatting>
  <conditionalFormatting sqref="E116:F116">
    <cfRule type="cellIs" dxfId="119" priority="133" stopIfTrue="1" operator="equal">
      <formula>"Minor"</formula>
    </cfRule>
    <cfRule type="cellIs" dxfId="118" priority="134" stopIfTrue="1" operator="equal">
      <formula>"Not implemented"</formula>
    </cfRule>
    <cfRule type="cellIs" dxfId="117" priority="135" stopIfTrue="1" operator="equal">
      <formula>"Not tested"</formula>
    </cfRule>
  </conditionalFormatting>
  <conditionalFormatting sqref="E124">
    <cfRule type="cellIs" dxfId="116" priority="130" stopIfTrue="1" operator="equal">
      <formula>"Minor"</formula>
    </cfRule>
    <cfRule type="cellIs" dxfId="115" priority="131" stopIfTrue="1" operator="equal">
      <formula>"Not implemented"</formula>
    </cfRule>
    <cfRule type="cellIs" dxfId="114" priority="132" stopIfTrue="1" operator="equal">
      <formula>"Not tested"</formula>
    </cfRule>
  </conditionalFormatting>
  <conditionalFormatting sqref="E96:E98">
    <cfRule type="cellIs" dxfId="113" priority="124" stopIfTrue="1" operator="equal">
      <formula>"Minor"</formula>
    </cfRule>
    <cfRule type="cellIs" dxfId="112" priority="125" stopIfTrue="1" operator="equal">
      <formula>"Not implemented"</formula>
    </cfRule>
    <cfRule type="cellIs" dxfId="111" priority="126" stopIfTrue="1" operator="equal">
      <formula>"Not tested"</formula>
    </cfRule>
  </conditionalFormatting>
  <conditionalFormatting sqref="E118:E123">
    <cfRule type="cellIs" dxfId="110" priority="118" stopIfTrue="1" operator="equal">
      <formula>"Minor"</formula>
    </cfRule>
    <cfRule type="cellIs" dxfId="109" priority="119" stopIfTrue="1" operator="equal">
      <formula>"Not implemented"</formula>
    </cfRule>
    <cfRule type="cellIs" dxfId="108" priority="120" stopIfTrue="1" operator="equal">
      <formula>"Not tested"</formula>
    </cfRule>
  </conditionalFormatting>
  <conditionalFormatting sqref="E125">
    <cfRule type="cellIs" dxfId="107" priority="115" stopIfTrue="1" operator="equal">
      <formula>"Minor"</formula>
    </cfRule>
    <cfRule type="cellIs" dxfId="106" priority="116" stopIfTrue="1" operator="equal">
      <formula>"Not implemented"</formula>
    </cfRule>
    <cfRule type="cellIs" dxfId="105" priority="117" stopIfTrue="1" operator="equal">
      <formula>"Not tested"</formula>
    </cfRule>
  </conditionalFormatting>
  <conditionalFormatting sqref="E128">
    <cfRule type="cellIs" dxfId="104" priority="103" stopIfTrue="1" operator="equal">
      <formula>"Minor"</formula>
    </cfRule>
    <cfRule type="cellIs" dxfId="103" priority="104" stopIfTrue="1" operator="equal">
      <formula>"Not implemented"</formula>
    </cfRule>
    <cfRule type="cellIs" dxfId="102" priority="105" stopIfTrue="1" operator="equal">
      <formula>"Not tested"</formula>
    </cfRule>
  </conditionalFormatting>
  <conditionalFormatting sqref="E127">
    <cfRule type="cellIs" dxfId="101" priority="112" stopIfTrue="1" operator="equal">
      <formula>"Minor"</formula>
    </cfRule>
    <cfRule type="cellIs" dxfId="100" priority="113" stopIfTrue="1" operator="equal">
      <formula>"Not implemented"</formula>
    </cfRule>
    <cfRule type="cellIs" dxfId="99" priority="114" stopIfTrue="1" operator="equal">
      <formula>"Not tested"</formula>
    </cfRule>
  </conditionalFormatting>
  <conditionalFormatting sqref="E126:F126">
    <cfRule type="cellIs" dxfId="98" priority="109" stopIfTrue="1" operator="equal">
      <formula>"Minor"</formula>
    </cfRule>
    <cfRule type="cellIs" dxfId="97" priority="110" stopIfTrue="1" operator="equal">
      <formula>"Not implemented"</formula>
    </cfRule>
    <cfRule type="cellIs" dxfId="96" priority="111" stopIfTrue="1" operator="equal">
      <formula>"Not tested"</formula>
    </cfRule>
  </conditionalFormatting>
  <conditionalFormatting sqref="F128">
    <cfRule type="cellIs" dxfId="95" priority="106" stopIfTrue="1" operator="equal">
      <formula>"Minor"</formula>
    </cfRule>
    <cfRule type="cellIs" dxfId="94" priority="107" stopIfTrue="1" operator="equal">
      <formula>"Not implemented"</formula>
    </cfRule>
    <cfRule type="cellIs" dxfId="93" priority="108" stopIfTrue="1" operator="equal">
      <formula>"Not tested"</formula>
    </cfRule>
  </conditionalFormatting>
  <conditionalFormatting sqref="G128 G125 G118:G123 G100:G115 G96:G98 G93:G94 G84:G90 G82 G79:G80 G77 G68:G74 G60:G66 G52:G58 G44:G50 G41 G37:G39 G33:G34 G30:G31">
    <cfRule type="cellIs" dxfId="92" priority="100" stopIfTrue="1" operator="equal">
      <formula>"Minor"</formula>
    </cfRule>
    <cfRule type="cellIs" dxfId="91" priority="101" stopIfTrue="1" operator="equal">
      <formula>"Not implemented"</formula>
    </cfRule>
    <cfRule type="cellIs" dxfId="90" priority="102" stopIfTrue="1" operator="equal">
      <formula>"Not tested"</formula>
    </cfRule>
  </conditionalFormatting>
  <conditionalFormatting sqref="E24">
    <cfRule type="cellIs" dxfId="89" priority="97" stopIfTrue="1" operator="equal">
      <formula>"Minor"</formula>
    </cfRule>
    <cfRule type="cellIs" dxfId="88" priority="98" stopIfTrue="1" operator="equal">
      <formula>"Not implemented"</formula>
    </cfRule>
    <cfRule type="cellIs" dxfId="87" priority="99" stopIfTrue="1" operator="equal">
      <formula>"Not tested"</formula>
    </cfRule>
  </conditionalFormatting>
  <conditionalFormatting sqref="G29">
    <cfRule type="cellIs" dxfId="86" priority="1" stopIfTrue="1" operator="equal">
      <formula>"Minor"</formula>
    </cfRule>
    <cfRule type="cellIs" dxfId="85" priority="2" stopIfTrue="1" operator="equal">
      <formula>"Not implemented"</formula>
    </cfRule>
    <cfRule type="cellIs" dxfId="84" priority="3" stopIfTrue="1" operator="equal">
      <formula>"Not tested"</formula>
    </cfRule>
  </conditionalFormatting>
  <conditionalFormatting sqref="F30">
    <cfRule type="cellIs" dxfId="83" priority="88" stopIfTrue="1" operator="equal">
      <formula>"Minor"</formula>
    </cfRule>
    <cfRule type="cellIs" dxfId="82" priority="89" stopIfTrue="1" operator="equal">
      <formula>"Not implemented"</formula>
    </cfRule>
    <cfRule type="cellIs" dxfId="81" priority="90" stopIfTrue="1" operator="equal">
      <formula>"Not tested"</formula>
    </cfRule>
  </conditionalFormatting>
  <conditionalFormatting sqref="F31">
    <cfRule type="cellIs" dxfId="80" priority="85" stopIfTrue="1" operator="equal">
      <formula>"Minor"</formula>
    </cfRule>
    <cfRule type="cellIs" dxfId="79" priority="86" stopIfTrue="1" operator="equal">
      <formula>"Not implemented"</formula>
    </cfRule>
    <cfRule type="cellIs" dxfId="78" priority="87" stopIfTrue="1" operator="equal">
      <formula>"Not tested"</formula>
    </cfRule>
  </conditionalFormatting>
  <conditionalFormatting sqref="F39">
    <cfRule type="cellIs" dxfId="77" priority="82" stopIfTrue="1" operator="equal">
      <formula>"Minor"</formula>
    </cfRule>
    <cfRule type="cellIs" dxfId="76" priority="83" stopIfTrue="1" operator="equal">
      <formula>"Not implemented"</formula>
    </cfRule>
    <cfRule type="cellIs" dxfId="75" priority="84" stopIfTrue="1" operator="equal">
      <formula>"Not tested"</formula>
    </cfRule>
  </conditionalFormatting>
  <conditionalFormatting sqref="F41">
    <cfRule type="cellIs" dxfId="74" priority="79" stopIfTrue="1" operator="equal">
      <formula>"Minor"</formula>
    </cfRule>
    <cfRule type="cellIs" dxfId="73" priority="80" stopIfTrue="1" operator="equal">
      <formula>"Not implemented"</formula>
    </cfRule>
    <cfRule type="cellIs" dxfId="72" priority="81" stopIfTrue="1" operator="equal">
      <formula>"Not tested"</formula>
    </cfRule>
  </conditionalFormatting>
  <conditionalFormatting sqref="G126">
    <cfRule type="cellIs" dxfId="71" priority="76" stopIfTrue="1" operator="equal">
      <formula>"Minor"</formula>
    </cfRule>
    <cfRule type="cellIs" dxfId="70" priority="77" stopIfTrue="1" operator="equal">
      <formula>"Not implemented"</formula>
    </cfRule>
    <cfRule type="cellIs" dxfId="69" priority="78" stopIfTrue="1" operator="equal">
      <formula>"Not tested"</formula>
    </cfRule>
  </conditionalFormatting>
  <conditionalFormatting sqref="G127">
    <cfRule type="cellIs" dxfId="68" priority="73" stopIfTrue="1" operator="equal">
      <formula>"Minor"</formula>
    </cfRule>
    <cfRule type="cellIs" dxfId="67" priority="74" stopIfTrue="1" operator="equal">
      <formula>"Not implemented"</formula>
    </cfRule>
    <cfRule type="cellIs" dxfId="66" priority="75" stopIfTrue="1" operator="equal">
      <formula>"Not tested"</formula>
    </cfRule>
  </conditionalFormatting>
  <conditionalFormatting sqref="G124">
    <cfRule type="cellIs" dxfId="65" priority="70" stopIfTrue="1" operator="equal">
      <formula>"Minor"</formula>
    </cfRule>
    <cfRule type="cellIs" dxfId="64" priority="71" stopIfTrue="1" operator="equal">
      <formula>"Not implemented"</formula>
    </cfRule>
    <cfRule type="cellIs" dxfId="63" priority="72" stopIfTrue="1" operator="equal">
      <formula>"Not tested"</formula>
    </cfRule>
  </conditionalFormatting>
  <conditionalFormatting sqref="G117">
    <cfRule type="cellIs" dxfId="62" priority="64" stopIfTrue="1" operator="equal">
      <formula>"Minor"</formula>
    </cfRule>
    <cfRule type="cellIs" dxfId="61" priority="65" stopIfTrue="1" operator="equal">
      <formula>"Not implemented"</formula>
    </cfRule>
    <cfRule type="cellIs" dxfId="60" priority="66" stopIfTrue="1" operator="equal">
      <formula>"Not tested"</formula>
    </cfRule>
  </conditionalFormatting>
  <conditionalFormatting sqref="G116">
    <cfRule type="cellIs" dxfId="59" priority="61" stopIfTrue="1" operator="equal">
      <formula>"Minor"</formula>
    </cfRule>
    <cfRule type="cellIs" dxfId="58" priority="62" stopIfTrue="1" operator="equal">
      <formula>"Not implemented"</formula>
    </cfRule>
    <cfRule type="cellIs" dxfId="57" priority="63" stopIfTrue="1" operator="equal">
      <formula>"Not tested"</formula>
    </cfRule>
  </conditionalFormatting>
  <conditionalFormatting sqref="G99">
    <cfRule type="cellIs" dxfId="56" priority="58" stopIfTrue="1" operator="equal">
      <formula>"Minor"</formula>
    </cfRule>
    <cfRule type="cellIs" dxfId="55" priority="59" stopIfTrue="1" operator="equal">
      <formula>"Not implemented"</formula>
    </cfRule>
    <cfRule type="cellIs" dxfId="54" priority="60" stopIfTrue="1" operator="equal">
      <formula>"Not tested"</formula>
    </cfRule>
  </conditionalFormatting>
  <conditionalFormatting sqref="G95">
    <cfRule type="cellIs" dxfId="53" priority="55" stopIfTrue="1" operator="equal">
      <formula>"Minor"</formula>
    </cfRule>
    <cfRule type="cellIs" dxfId="52" priority="56" stopIfTrue="1" operator="equal">
      <formula>"Not implemented"</formula>
    </cfRule>
    <cfRule type="cellIs" dxfId="51" priority="57" stopIfTrue="1" operator="equal">
      <formula>"Not tested"</formula>
    </cfRule>
  </conditionalFormatting>
  <conditionalFormatting sqref="G92">
    <cfRule type="cellIs" dxfId="50" priority="52" stopIfTrue="1" operator="equal">
      <formula>"Minor"</formula>
    </cfRule>
    <cfRule type="cellIs" dxfId="49" priority="53" stopIfTrue="1" operator="equal">
      <formula>"Not implemented"</formula>
    </cfRule>
    <cfRule type="cellIs" dxfId="48" priority="54" stopIfTrue="1" operator="equal">
      <formula>"Not tested"</formula>
    </cfRule>
  </conditionalFormatting>
  <conditionalFormatting sqref="G91">
    <cfRule type="cellIs" dxfId="47" priority="49" stopIfTrue="1" operator="equal">
      <formula>"Minor"</formula>
    </cfRule>
    <cfRule type="cellIs" dxfId="46" priority="50" stopIfTrue="1" operator="equal">
      <formula>"Not implemented"</formula>
    </cfRule>
    <cfRule type="cellIs" dxfId="45" priority="51" stopIfTrue="1" operator="equal">
      <formula>"Not tested"</formula>
    </cfRule>
  </conditionalFormatting>
  <conditionalFormatting sqref="G83">
    <cfRule type="cellIs" dxfId="44" priority="46" stopIfTrue="1" operator="equal">
      <formula>"Minor"</formula>
    </cfRule>
    <cfRule type="cellIs" dxfId="43" priority="47" stopIfTrue="1" operator="equal">
      <formula>"Not implemented"</formula>
    </cfRule>
    <cfRule type="cellIs" dxfId="42" priority="48" stopIfTrue="1" operator="equal">
      <formula>"Not tested"</formula>
    </cfRule>
  </conditionalFormatting>
  <conditionalFormatting sqref="G81">
    <cfRule type="cellIs" dxfId="41" priority="43" stopIfTrue="1" operator="equal">
      <formula>"Minor"</formula>
    </cfRule>
    <cfRule type="cellIs" dxfId="40" priority="44" stopIfTrue="1" operator="equal">
      <formula>"Not implemented"</formula>
    </cfRule>
    <cfRule type="cellIs" dxfId="39" priority="45" stopIfTrue="1" operator="equal">
      <formula>"Not tested"</formula>
    </cfRule>
  </conditionalFormatting>
  <conditionalFormatting sqref="G78">
    <cfRule type="cellIs" dxfId="38" priority="40" stopIfTrue="1" operator="equal">
      <formula>"Minor"</formula>
    </cfRule>
    <cfRule type="cellIs" dxfId="37" priority="41" stopIfTrue="1" operator="equal">
      <formula>"Not implemented"</formula>
    </cfRule>
    <cfRule type="cellIs" dxfId="36" priority="42" stopIfTrue="1" operator="equal">
      <formula>"Not tested"</formula>
    </cfRule>
  </conditionalFormatting>
  <conditionalFormatting sqref="G76">
    <cfRule type="cellIs" dxfId="35" priority="37" stopIfTrue="1" operator="equal">
      <formula>"Minor"</formula>
    </cfRule>
    <cfRule type="cellIs" dxfId="34" priority="38" stopIfTrue="1" operator="equal">
      <formula>"Not implemented"</formula>
    </cfRule>
    <cfRule type="cellIs" dxfId="33" priority="39" stopIfTrue="1" operator="equal">
      <formula>"Not tested"</formula>
    </cfRule>
  </conditionalFormatting>
  <conditionalFormatting sqref="G75">
    <cfRule type="cellIs" dxfId="32" priority="34" stopIfTrue="1" operator="equal">
      <formula>"Minor"</formula>
    </cfRule>
    <cfRule type="cellIs" dxfId="31" priority="35" stopIfTrue="1" operator="equal">
      <formula>"Not implemented"</formula>
    </cfRule>
    <cfRule type="cellIs" dxfId="30" priority="36" stopIfTrue="1" operator="equal">
      <formula>"Not tested"</formula>
    </cfRule>
  </conditionalFormatting>
  <conditionalFormatting sqref="G67">
    <cfRule type="cellIs" dxfId="29" priority="31" stopIfTrue="1" operator="equal">
      <formula>"Minor"</formula>
    </cfRule>
    <cfRule type="cellIs" dxfId="28" priority="32" stopIfTrue="1" operator="equal">
      <formula>"Not implemented"</formula>
    </cfRule>
    <cfRule type="cellIs" dxfId="27" priority="33" stopIfTrue="1" operator="equal">
      <formula>"Not tested"</formula>
    </cfRule>
  </conditionalFormatting>
  <conditionalFormatting sqref="G59">
    <cfRule type="cellIs" dxfId="26" priority="28" stopIfTrue="1" operator="equal">
      <formula>"Minor"</formula>
    </cfRule>
    <cfRule type="cellIs" dxfId="25" priority="29" stopIfTrue="1" operator="equal">
      <formula>"Not implemented"</formula>
    </cfRule>
    <cfRule type="cellIs" dxfId="24" priority="30" stopIfTrue="1" operator="equal">
      <formula>"Not tested"</formula>
    </cfRule>
  </conditionalFormatting>
  <conditionalFormatting sqref="G51">
    <cfRule type="cellIs" dxfId="23" priority="25" stopIfTrue="1" operator="equal">
      <formula>"Minor"</formula>
    </cfRule>
    <cfRule type="cellIs" dxfId="22" priority="26" stopIfTrue="1" operator="equal">
      <formula>"Not implemented"</formula>
    </cfRule>
    <cfRule type="cellIs" dxfId="21" priority="27" stopIfTrue="1" operator="equal">
      <formula>"Not tested"</formula>
    </cfRule>
  </conditionalFormatting>
  <conditionalFormatting sqref="G43">
    <cfRule type="cellIs" dxfId="20" priority="19" stopIfTrue="1" operator="equal">
      <formula>"Minor"</formula>
    </cfRule>
    <cfRule type="cellIs" dxfId="19" priority="20" stopIfTrue="1" operator="equal">
      <formula>"Not implemented"</formula>
    </cfRule>
    <cfRule type="cellIs" dxfId="18" priority="21" stopIfTrue="1" operator="equal">
      <formula>"Not tested"</formula>
    </cfRule>
  </conditionalFormatting>
  <conditionalFormatting sqref="G42">
    <cfRule type="cellIs" dxfId="17" priority="16" stopIfTrue="1" operator="equal">
      <formula>"Minor"</formula>
    </cfRule>
    <cfRule type="cellIs" dxfId="16" priority="17" stopIfTrue="1" operator="equal">
      <formula>"Not implemented"</formula>
    </cfRule>
    <cfRule type="cellIs" dxfId="15" priority="18" stopIfTrue="1" operator="equal">
      <formula>"Not tested"</formula>
    </cfRule>
  </conditionalFormatting>
  <conditionalFormatting sqref="G40">
    <cfRule type="cellIs" dxfId="14" priority="13" stopIfTrue="1" operator="equal">
      <formula>"Minor"</formula>
    </cfRule>
    <cfRule type="cellIs" dxfId="13" priority="14" stopIfTrue="1" operator="equal">
      <formula>"Not implemented"</formula>
    </cfRule>
    <cfRule type="cellIs" dxfId="12" priority="15" stopIfTrue="1" operator="equal">
      <formula>"Not tested"</formula>
    </cfRule>
  </conditionalFormatting>
  <conditionalFormatting sqref="G36">
    <cfRule type="cellIs" dxfId="11" priority="10" stopIfTrue="1" operator="equal">
      <formula>"Minor"</formula>
    </cfRule>
    <cfRule type="cellIs" dxfId="10" priority="11" stopIfTrue="1" operator="equal">
      <formula>"Not implemented"</formula>
    </cfRule>
    <cfRule type="cellIs" dxfId="9" priority="12" stopIfTrue="1" operator="equal">
      <formula>"Not tested"</formula>
    </cfRule>
  </conditionalFormatting>
  <conditionalFormatting sqref="G35">
    <cfRule type="cellIs" dxfId="8" priority="7" stopIfTrue="1" operator="equal">
      <formula>"Minor"</formula>
    </cfRule>
    <cfRule type="cellIs" dxfId="7" priority="8" stopIfTrue="1" operator="equal">
      <formula>"Not implemented"</formula>
    </cfRule>
    <cfRule type="cellIs" dxfId="6" priority="9" stopIfTrue="1" operator="equal">
      <formula>"Not tested"</formula>
    </cfRule>
  </conditionalFormatting>
  <conditionalFormatting sqref="G32">
    <cfRule type="cellIs" dxfId="5" priority="4" stopIfTrue="1" operator="equal">
      <formula>"Minor"</formula>
    </cfRule>
    <cfRule type="cellIs" dxfId="4" priority="5" stopIfTrue="1" operator="equal">
      <formula>"Not implemented"</formula>
    </cfRule>
    <cfRule type="cellIs" dxfId="3" priority="6" stopIfTrue="1" operator="equal">
      <formula>"Not tested"</formula>
    </cfRule>
  </conditionalFormatting>
  <dataValidations count="7">
    <dataValidation type="list" allowBlank="1" showErrorMessage="1" sqref="E7:G7" xr:uid="{00000000-0002-0000-0200-000000000000}">
      <formula1>Browser_list</formula1>
      <formula2>0</formula2>
    </dataValidation>
    <dataValidation type="list" allowBlank="1" showErrorMessage="1" sqref="E2:G2" xr:uid="{00000000-0002-0000-0200-000001000000}">
      <formula1>Test_types</formula1>
      <formula2>0</formula2>
    </dataValidation>
    <dataValidation type="list" allowBlank="1" showErrorMessage="1" sqref="E4:G4" xr:uid="{00000000-0002-0000-0200-000002000000}">
      <formula1>Test_Team</formula1>
      <formula2>0</formula2>
    </dataValidation>
    <dataValidation type="list" allowBlank="1" showErrorMessage="1" sqref="E5:G5" xr:uid="{00000000-0002-0000-0200-000003000000}">
      <formula1>Project_URL</formula1>
      <formula2>0</formula2>
    </dataValidation>
    <dataValidation type="list" allowBlank="1" showErrorMessage="1" sqref="E6:G6" xr:uid="{00000000-0002-0000-0200-000004000000}">
      <formula1>Environment_OS</formula1>
      <formula2>0</formula2>
    </dataValidation>
    <dataValidation type="list" allowBlank="1" showErrorMessage="1" sqref="E37:E39 E41 E30:E34 E44:E50 E52:E58 E128 E118:E123 E60:E66 E77 E79:E80 E82 E125 E96:E98 E93:E94 E68:E74 E84:E90 E100:E115 G30:G31 G128 G125 G118:G123 G100:G115 G96:G98 G93:G94 G84:G90 G82 G79:G80 G77 G68:G74 G60:G66 G52:G58 G44:G50 G41 G37:G39 G33:G34 E24 G26:G28 E26:E28" xr:uid="{00000000-0002-0000-0200-000005000000}">
      <formula1>Test_status</formula1>
      <formula2>0</formula2>
    </dataValidation>
    <dataValidation type="list" allowBlank="1" showErrorMessage="1" sqref="A36:A41 A117:A125 A127:A128 A43:A74 A76:A90 A92:A115 A24:A34" xr:uid="{00000000-0002-0000-0200-000006000000}">
      <formula1>Test_coverage</formula1>
      <formula2>0</formula2>
    </dataValidation>
  </dataValidations>
  <hyperlinks>
    <hyperlink ref="C10" r:id="rId1" xr:uid="{00000000-0004-0000-0200-000000000000}"/>
    <hyperlink ref="E5" r:id="rId2" xr:uid="{00000000-0004-0000-0200-000001000000}"/>
  </hyperlinks>
  <pageMargins left="0.7" right="0.7" top="0.75" bottom="0.75" header="0.51180555555555551" footer="0.51180555555555551"/>
  <pageSetup paperSize="9" firstPageNumber="0" orientation="portrait" horizontalDpi="300" verticalDpi="300"/>
  <headerFooter alignWithMargins="0"/>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8"/>
  <sheetViews>
    <sheetView zoomScale="160" zoomScaleNormal="160" workbookViewId="0">
      <selection activeCell="B2" sqref="B2"/>
    </sheetView>
  </sheetViews>
  <sheetFormatPr defaultRowHeight="12" customHeight="1" x14ac:dyDescent="0.2"/>
  <cols>
    <col min="1" max="1" width="20.5703125" style="97" customWidth="1"/>
    <col min="2" max="2" width="19.85546875" style="97" customWidth="1"/>
    <col min="3" max="3" width="15.7109375" style="97" customWidth="1"/>
    <col min="4" max="5" width="20.7109375" style="97" customWidth="1"/>
    <col min="6" max="6" width="15.7109375" style="97" customWidth="1"/>
    <col min="7" max="7" width="9.140625" style="97" customWidth="1"/>
    <col min="8" max="8" width="19.140625" style="97" customWidth="1"/>
    <col min="9" max="9" width="10.140625" style="97" customWidth="1"/>
    <col min="10" max="10" width="19.140625" style="97" customWidth="1"/>
    <col min="11" max="11" width="27" style="97" customWidth="1"/>
    <col min="12" max="16384" width="9.140625" style="97"/>
  </cols>
  <sheetData>
    <row r="1" spans="1:11" s="4" customFormat="1" ht="66.2" customHeight="1" x14ac:dyDescent="0.2">
      <c r="A1" s="2" t="s">
        <v>130</v>
      </c>
      <c r="B1" s="3"/>
      <c r="C1" s="3"/>
      <c r="D1" s="3"/>
      <c r="E1" s="3"/>
      <c r="F1" s="3"/>
      <c r="J1" s="5"/>
    </row>
    <row r="2" spans="1:11" s="27" customFormat="1" ht="12" customHeight="1" x14ac:dyDescent="0.2">
      <c r="A2" s="98" t="s">
        <v>161</v>
      </c>
      <c r="B2" s="99" t="s">
        <v>162</v>
      </c>
      <c r="C2" s="164" t="s">
        <v>43</v>
      </c>
      <c r="D2" s="164"/>
      <c r="E2" s="164"/>
      <c r="F2" s="164"/>
      <c r="H2" s="100" t="s">
        <v>163</v>
      </c>
      <c r="J2" s="100" t="s">
        <v>146</v>
      </c>
      <c r="K2" s="100" t="s">
        <v>164</v>
      </c>
    </row>
    <row r="3" spans="1:11" ht="12" customHeight="1" x14ac:dyDescent="0.2">
      <c r="A3" s="165" t="s">
        <v>165</v>
      </c>
      <c r="B3" s="101" t="s">
        <v>135</v>
      </c>
      <c r="C3" s="166"/>
      <c r="D3" s="166"/>
      <c r="E3" s="166"/>
      <c r="F3" s="166"/>
      <c r="H3" s="102"/>
      <c r="I3" s="24"/>
      <c r="J3" s="102"/>
      <c r="K3" s="103"/>
    </row>
    <row r="4" spans="1:11" ht="12" customHeight="1" x14ac:dyDescent="0.2">
      <c r="A4" s="165"/>
      <c r="B4" s="104"/>
      <c r="C4" s="166"/>
      <c r="D4" s="166"/>
      <c r="E4" s="166" t="s">
        <v>166</v>
      </c>
      <c r="F4" s="166"/>
      <c r="H4" s="105"/>
      <c r="I4" s="24"/>
      <c r="J4" s="105"/>
      <c r="K4" s="106"/>
    </row>
    <row r="5" spans="1:11" ht="12" customHeight="1" x14ac:dyDescent="0.2">
      <c r="A5" s="165"/>
      <c r="B5" s="107"/>
      <c r="C5" s="166"/>
      <c r="D5" s="166"/>
      <c r="E5" s="166"/>
      <c r="F5" s="166"/>
      <c r="H5" s="105"/>
      <c r="I5" s="24"/>
      <c r="J5" s="105"/>
      <c r="K5" s="106"/>
    </row>
    <row r="6" spans="1:11" ht="12" customHeight="1" x14ac:dyDescent="0.2">
      <c r="A6" s="165"/>
      <c r="B6" s="107"/>
      <c r="C6" s="166"/>
      <c r="D6" s="166"/>
      <c r="E6" s="166"/>
      <c r="F6" s="166"/>
      <c r="H6" s="105"/>
      <c r="I6" s="24"/>
      <c r="J6" s="105"/>
      <c r="K6" s="106"/>
    </row>
    <row r="7" spans="1:11" ht="12" customHeight="1" x14ac:dyDescent="0.2">
      <c r="A7" s="165"/>
      <c r="B7" s="107"/>
      <c r="C7" s="166"/>
      <c r="D7" s="166"/>
      <c r="E7" s="166"/>
      <c r="F7" s="166"/>
      <c r="H7" s="105"/>
      <c r="I7" s="24"/>
      <c r="J7" s="105"/>
      <c r="K7" s="105"/>
    </row>
    <row r="8" spans="1:11" ht="12" customHeight="1" x14ac:dyDescent="0.2">
      <c r="A8" s="165"/>
      <c r="B8" s="107"/>
      <c r="C8" s="166"/>
      <c r="D8" s="166"/>
      <c r="E8" s="166"/>
      <c r="F8" s="166"/>
      <c r="H8" s="105"/>
      <c r="I8" s="24"/>
      <c r="J8" s="105"/>
      <c r="K8" s="105"/>
    </row>
    <row r="9" spans="1:11" ht="12" customHeight="1" x14ac:dyDescent="0.2">
      <c r="A9" s="165"/>
      <c r="B9" s="107"/>
      <c r="C9" s="166"/>
      <c r="D9" s="166"/>
      <c r="E9" s="166"/>
      <c r="F9" s="166"/>
      <c r="H9" s="105"/>
      <c r="I9" s="24"/>
      <c r="J9" s="105"/>
      <c r="K9" s="105"/>
    </row>
    <row r="10" spans="1:11" ht="12" customHeight="1" x14ac:dyDescent="0.2">
      <c r="A10" s="165"/>
      <c r="B10" s="104"/>
      <c r="C10" s="166" t="s">
        <v>167</v>
      </c>
      <c r="D10" s="166"/>
      <c r="E10" s="166"/>
      <c r="F10" s="166"/>
      <c r="H10" s="105"/>
      <c r="I10" s="24"/>
      <c r="J10" s="105"/>
      <c r="K10" s="105"/>
    </row>
    <row r="11" spans="1:11" ht="12" customHeight="1" x14ac:dyDescent="0.2">
      <c r="A11" s="165"/>
      <c r="B11" s="104"/>
      <c r="C11" s="166" t="s">
        <v>167</v>
      </c>
      <c r="D11" s="166"/>
      <c r="E11" s="166"/>
      <c r="F11" s="166"/>
      <c r="H11" s="105"/>
      <c r="I11" s="24"/>
      <c r="J11" s="105"/>
      <c r="K11" s="105"/>
    </row>
    <row r="12" spans="1:11" ht="12" customHeight="1" x14ac:dyDescent="0.2">
      <c r="A12" s="161" t="s">
        <v>31</v>
      </c>
      <c r="B12" s="108" t="s">
        <v>168</v>
      </c>
      <c r="C12" s="162" t="s">
        <v>169</v>
      </c>
      <c r="D12" s="162"/>
      <c r="E12" s="162"/>
      <c r="F12" s="162"/>
      <c r="G12" s="109"/>
      <c r="H12" s="110"/>
      <c r="I12" s="24"/>
      <c r="J12" s="110"/>
      <c r="K12" s="110"/>
    </row>
    <row r="13" spans="1:11" ht="12" customHeight="1" x14ac:dyDescent="0.2">
      <c r="A13" s="161"/>
      <c r="B13" s="107"/>
      <c r="C13" s="163"/>
      <c r="D13" s="163"/>
      <c r="E13" s="163"/>
      <c r="F13" s="163"/>
      <c r="G13" s="109"/>
      <c r="H13" s="110"/>
      <c r="I13" s="24"/>
      <c r="J13" s="110"/>
      <c r="K13" s="110"/>
    </row>
    <row r="14" spans="1:11" ht="12" customHeight="1" x14ac:dyDescent="0.2">
      <c r="A14" s="161"/>
      <c r="B14" s="107"/>
      <c r="C14" s="156"/>
      <c r="D14" s="156"/>
      <c r="E14" s="156" t="s">
        <v>166</v>
      </c>
      <c r="F14" s="156"/>
      <c r="G14" s="109"/>
      <c r="H14" s="110"/>
      <c r="I14" s="24"/>
      <c r="J14" s="110"/>
      <c r="K14" s="110"/>
    </row>
    <row r="15" spans="1:11" ht="12" customHeight="1" x14ac:dyDescent="0.2">
      <c r="A15" s="161"/>
      <c r="B15" s="107"/>
      <c r="C15" s="156"/>
      <c r="D15" s="156"/>
      <c r="E15" s="156"/>
      <c r="F15" s="156"/>
      <c r="G15" s="109"/>
      <c r="H15" s="110"/>
      <c r="I15" s="24"/>
      <c r="J15" s="110"/>
      <c r="K15" s="110"/>
    </row>
    <row r="16" spans="1:11" ht="12" customHeight="1" x14ac:dyDescent="0.2">
      <c r="A16" s="161"/>
      <c r="B16" s="107"/>
      <c r="C16" s="156"/>
      <c r="D16" s="156"/>
      <c r="E16" s="156"/>
      <c r="F16" s="156"/>
      <c r="G16" s="109"/>
      <c r="H16" s="110"/>
      <c r="I16" s="24"/>
      <c r="J16" s="110"/>
      <c r="K16" s="110"/>
    </row>
    <row r="17" spans="1:11" ht="12" customHeight="1" x14ac:dyDescent="0.2">
      <c r="A17" s="161"/>
      <c r="B17" s="107" t="s">
        <v>170</v>
      </c>
      <c r="C17" s="156"/>
      <c r="D17" s="156"/>
      <c r="E17" s="156"/>
      <c r="F17" s="156"/>
      <c r="H17" s="105"/>
      <c r="I17" s="24"/>
      <c r="J17" s="105"/>
      <c r="K17" s="105"/>
    </row>
    <row r="18" spans="1:11" ht="12" customHeight="1" x14ac:dyDescent="0.2">
      <c r="A18" s="161"/>
      <c r="B18" s="107"/>
      <c r="C18" s="156"/>
      <c r="D18" s="156"/>
      <c r="E18" s="156"/>
      <c r="F18" s="156"/>
      <c r="H18" s="105"/>
      <c r="I18" s="24"/>
      <c r="J18" s="105"/>
      <c r="K18" s="105"/>
    </row>
    <row r="19" spans="1:11" ht="12" customHeight="1" x14ac:dyDescent="0.2">
      <c r="A19" s="161"/>
      <c r="B19" s="107"/>
      <c r="C19" s="156"/>
      <c r="D19" s="156"/>
      <c r="E19" s="156"/>
      <c r="F19" s="156"/>
      <c r="H19" s="105"/>
      <c r="I19" s="24"/>
      <c r="J19" s="105"/>
      <c r="K19" s="105"/>
    </row>
    <row r="20" spans="1:11" ht="12" customHeight="1" x14ac:dyDescent="0.2">
      <c r="A20" s="161"/>
      <c r="B20" s="107"/>
      <c r="C20" s="156"/>
      <c r="D20" s="156"/>
      <c r="E20" s="156"/>
      <c r="F20" s="156"/>
      <c r="H20" s="105"/>
      <c r="I20" s="24"/>
      <c r="J20" s="105"/>
      <c r="K20" s="105"/>
    </row>
    <row r="21" spans="1:11" ht="12" customHeight="1" x14ac:dyDescent="0.2">
      <c r="A21" s="161"/>
      <c r="B21" s="104"/>
      <c r="C21" s="156" t="s">
        <v>171</v>
      </c>
      <c r="D21" s="156"/>
      <c r="E21" s="156"/>
      <c r="F21" s="156"/>
      <c r="H21" s="105"/>
      <c r="I21" s="24"/>
      <c r="J21" s="105"/>
      <c r="K21" s="105"/>
    </row>
    <row r="22" spans="1:11" ht="12" customHeight="1" x14ac:dyDescent="0.2">
      <c r="A22" s="161"/>
      <c r="B22" s="111"/>
      <c r="C22" s="157" t="s">
        <v>171</v>
      </c>
      <c r="D22" s="157"/>
      <c r="E22" s="157"/>
      <c r="F22" s="157"/>
      <c r="H22" s="105"/>
      <c r="I22" s="24"/>
      <c r="J22" s="105"/>
      <c r="K22" s="105"/>
    </row>
    <row r="23" spans="1:11" ht="12" customHeight="1" x14ac:dyDescent="0.2">
      <c r="A23" s="158" t="s">
        <v>172</v>
      </c>
      <c r="B23" s="158"/>
      <c r="C23" s="158"/>
      <c r="D23" s="158"/>
      <c r="E23" s="158"/>
      <c r="F23" s="158"/>
      <c r="H23" s="105"/>
      <c r="I23" s="24"/>
      <c r="J23" s="105"/>
      <c r="K23" s="105"/>
    </row>
    <row r="24" spans="1:11" ht="12" customHeight="1" x14ac:dyDescent="0.2">
      <c r="A24" s="159"/>
      <c r="B24" s="159"/>
      <c r="C24" s="159"/>
      <c r="D24" s="159"/>
      <c r="E24" s="159"/>
      <c r="F24" s="159"/>
      <c r="H24" s="112"/>
      <c r="I24" s="24"/>
      <c r="J24" s="112"/>
      <c r="K24" s="112"/>
    </row>
    <row r="25" spans="1:11" ht="12" customHeight="1" x14ac:dyDescent="0.2">
      <c r="A25" s="113"/>
      <c r="B25" s="113"/>
      <c r="C25" s="113"/>
      <c r="D25" s="113"/>
      <c r="E25" s="113" t="s">
        <v>173</v>
      </c>
      <c r="F25" s="113"/>
      <c r="H25" s="24"/>
      <c r="I25" s="24"/>
      <c r="J25" s="24"/>
      <c r="K25" s="24"/>
    </row>
    <row r="26" spans="1:11" ht="12" customHeight="1" x14ac:dyDescent="0.2">
      <c r="A26" s="113"/>
      <c r="B26" s="113"/>
      <c r="C26" s="113"/>
      <c r="D26" s="113"/>
      <c r="E26" s="113"/>
      <c r="F26" s="113"/>
    </row>
    <row r="27" spans="1:11" s="27" customFormat="1" ht="12" customHeight="1" x14ac:dyDescent="0.2">
      <c r="A27" s="160" t="s">
        <v>174</v>
      </c>
      <c r="B27" s="160"/>
      <c r="C27" s="114"/>
      <c r="D27" s="114"/>
      <c r="E27" s="114"/>
      <c r="F27" s="115"/>
    </row>
    <row r="28" spans="1:11" ht="12" customHeight="1" x14ac:dyDescent="0.2">
      <c r="A28" s="116" t="s">
        <v>175</v>
      </c>
      <c r="B28" s="117" t="s">
        <v>135</v>
      </c>
      <c r="C28" s="117"/>
      <c r="D28" s="117"/>
      <c r="E28" s="117"/>
      <c r="F28" s="118"/>
    </row>
    <row r="29" spans="1:11" ht="12" customHeight="1" x14ac:dyDescent="0.2">
      <c r="A29" s="116" t="s">
        <v>31</v>
      </c>
      <c r="B29" s="117" t="s">
        <v>136</v>
      </c>
      <c r="C29" s="117"/>
      <c r="D29" s="117"/>
      <c r="E29" s="117"/>
      <c r="F29" s="118"/>
    </row>
    <row r="30" spans="1:11" s="27" customFormat="1" ht="12" customHeight="1" x14ac:dyDescent="0.2">
      <c r="A30" s="155" t="s">
        <v>176</v>
      </c>
      <c r="B30" s="155"/>
      <c r="C30" s="119"/>
      <c r="D30" s="119"/>
      <c r="E30" s="119"/>
      <c r="F30" s="120"/>
    </row>
    <row r="31" spans="1:11" s="27" customFormat="1" ht="12" customHeight="1" x14ac:dyDescent="0.2">
      <c r="A31" s="121" t="s">
        <v>175</v>
      </c>
      <c r="B31" s="122" t="s">
        <v>31</v>
      </c>
      <c r="C31" s="122" t="s">
        <v>7</v>
      </c>
      <c r="D31" s="122" t="s">
        <v>177</v>
      </c>
      <c r="E31" s="122" t="s">
        <v>25</v>
      </c>
      <c r="F31" s="123" t="s">
        <v>35</v>
      </c>
    </row>
    <row r="32" spans="1:11" ht="12" customHeight="1" x14ac:dyDescent="0.2">
      <c r="A32" s="124" t="s">
        <v>135</v>
      </c>
      <c r="B32" s="125" t="s">
        <v>168</v>
      </c>
      <c r="C32" s="126">
        <v>1</v>
      </c>
      <c r="D32" s="125" t="s">
        <v>14</v>
      </c>
      <c r="E32" s="125" t="s">
        <v>178</v>
      </c>
      <c r="F32" s="127" t="s">
        <v>122</v>
      </c>
    </row>
    <row r="33" spans="1:6" ht="12" customHeight="1" x14ac:dyDescent="0.2">
      <c r="A33" s="124"/>
      <c r="B33" s="128"/>
      <c r="C33" s="129"/>
      <c r="D33" s="128"/>
      <c r="E33" s="128"/>
      <c r="F33" s="130"/>
    </row>
    <row r="34" spans="1:6" ht="12" customHeight="1" x14ac:dyDescent="0.2">
      <c r="A34" s="124"/>
      <c r="B34" s="128"/>
      <c r="C34" s="129"/>
      <c r="D34" s="128"/>
      <c r="E34" s="128"/>
      <c r="F34" s="130"/>
    </row>
    <row r="35" spans="1:6" ht="12" customHeight="1" x14ac:dyDescent="0.2">
      <c r="A35" s="131"/>
      <c r="B35" s="132"/>
      <c r="C35" s="133"/>
      <c r="D35" s="132"/>
      <c r="E35" s="133"/>
      <c r="F35" s="134"/>
    </row>
    <row r="36" spans="1:6" ht="12" customHeight="1" x14ac:dyDescent="0.2">
      <c r="A36" s="135"/>
      <c r="B36" s="135"/>
      <c r="D36" s="135"/>
      <c r="E36" s="135"/>
      <c r="F36" s="135"/>
    </row>
    <row r="37" spans="1:6" ht="12" customHeight="1" x14ac:dyDescent="0.2">
      <c r="A37" s="135"/>
      <c r="B37" s="135"/>
      <c r="D37" s="135"/>
      <c r="E37" s="135"/>
      <c r="F37" s="135"/>
    </row>
    <row r="38" spans="1:6" ht="12" customHeight="1" x14ac:dyDescent="0.2">
      <c r="A38" s="135"/>
      <c r="B38" s="135"/>
      <c r="D38" s="135"/>
      <c r="E38" s="135"/>
      <c r="F38" s="135"/>
    </row>
  </sheetData>
  <sheetProtection selectLockedCells="1" selectUnlockedCells="1"/>
  <mergeCells count="27">
    <mergeCell ref="C2:F2"/>
    <mergeCell ref="A3:A11"/>
    <mergeCell ref="C3:F3"/>
    <mergeCell ref="C4:F4"/>
    <mergeCell ref="C5:F5"/>
    <mergeCell ref="C6:F6"/>
    <mergeCell ref="C7:F7"/>
    <mergeCell ref="C8:F8"/>
    <mergeCell ref="C9:F9"/>
    <mergeCell ref="C10:F10"/>
    <mergeCell ref="C11:F11"/>
    <mergeCell ref="A30:B30"/>
    <mergeCell ref="C20:F20"/>
    <mergeCell ref="C21:F21"/>
    <mergeCell ref="C22:F22"/>
    <mergeCell ref="A23:F23"/>
    <mergeCell ref="A24:F24"/>
    <mergeCell ref="A27:B27"/>
    <mergeCell ref="A12:A22"/>
    <mergeCell ref="C12:F12"/>
    <mergeCell ref="C13:F13"/>
    <mergeCell ref="C14:F14"/>
    <mergeCell ref="C15:F15"/>
    <mergeCell ref="C16:F16"/>
    <mergeCell ref="C17:F17"/>
    <mergeCell ref="C18:F18"/>
    <mergeCell ref="C19:F19"/>
  </mergeCells>
  <conditionalFormatting sqref="A2:XFD65536">
    <cfRule type="cellIs" dxfId="2" priority="1" stopIfTrue="1" operator="equal">
      <formula>"Not Acceptable"</formula>
    </cfRule>
    <cfRule type="cellIs" dxfId="1" priority="2" stopIfTrue="1" operator="equal">
      <formula>"Acceptable"</formula>
    </cfRule>
    <cfRule type="cellIs" dxfId="0" priority="3" stopIfTrue="1" operator="equal">
      <formula>"Low"</formula>
    </cfRule>
  </conditionalFormatting>
  <dataValidations count="5">
    <dataValidation type="list" allowBlank="1" showErrorMessage="1" sqref="D32:D35" xr:uid="{00000000-0002-0000-0300-000000000000}">
      <formula1>Test_types</formula1>
      <formula2>0</formula2>
    </dataValidation>
    <dataValidation type="list" allowBlank="1" showErrorMessage="1" sqref="B32:B35" xr:uid="{00000000-0002-0000-0300-000001000000}">
      <formula1>$B$12:$B$22</formula1>
      <formula2>0</formula2>
    </dataValidation>
    <dataValidation type="list" allowBlank="1" showErrorMessage="1" sqref="B28 A32:A35" xr:uid="{00000000-0002-0000-0300-000002000000}">
      <formula1>Environment_OS</formula1>
      <formula2>0</formula2>
    </dataValidation>
    <dataValidation type="list" allowBlank="1" showErrorMessage="1" sqref="B29" xr:uid="{00000000-0002-0000-0300-000003000000}">
      <formula1>Browser_list</formula1>
      <formula2>0</formula2>
    </dataValidation>
    <dataValidation type="list" allowBlank="1" showErrorMessage="1" sqref="F32:F35" xr:uid="{00000000-0002-0000-0300-000004000000}">
      <formula1>Quality_range</formula1>
      <formula2>0</formula2>
    </dataValidation>
  </dataValidations>
  <pageMargins left="0.7" right="0.7" top="0.75" bottom="0.75" header="0.51180555555555551" footer="0.51180555555555551"/>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30</TotalTime>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Description</vt:lpstr>
      <vt:lpstr>Build Info</vt:lpstr>
      <vt:lpstr>Front End</vt:lpstr>
      <vt:lpstr>Testing Plan</vt:lpstr>
      <vt:lpstr>Browser_list</vt:lpstr>
      <vt:lpstr>Environment_OS</vt:lpstr>
      <vt:lpstr>Project_URL</vt:lpstr>
      <vt:lpstr>Quality_range</vt:lpstr>
      <vt:lpstr>Test_coverage</vt:lpstr>
      <vt:lpstr>Test_status</vt:lpstr>
      <vt:lpstr>Test_Team</vt:lpstr>
      <vt:lpstr>Test_types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Yakimova, Elena</dc:creator>
  <cp:keywords>DailyFitLog Acceptance sheet</cp:keywords>
  <cp:lastModifiedBy>Akram</cp:lastModifiedBy>
  <cp:revision>26</cp:revision>
  <cp:lastPrinted>1601-01-01T00:00:00Z</cp:lastPrinted>
  <dcterms:created xsi:type="dcterms:W3CDTF">2007-06-26T08:13:00Z</dcterms:created>
  <dcterms:modified xsi:type="dcterms:W3CDTF">2026-05-02T04:53:50Z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Owner">
    <vt:lpwstr/>
  </property>
  <property fmtid="{D5CDD505-2E9C-101B-9397-08002B2CF9AE}" pid="4" name="SPSDescription">
    <vt:lpwstr/>
  </property>
  <property fmtid="{D5CDD505-2E9C-101B-9397-08002B2CF9AE}" pid="5" name="State">
    <vt:lpwstr>Active</vt:lpwstr>
  </property>
  <property fmtid="{D5CDD505-2E9C-101B-9397-08002B2CF9AE}" pid="6" name="Status">
    <vt:lpwstr/>
  </property>
</Properties>
</file>